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Projects\设计\白雪公主_v1.0\"/>
    </mc:Choice>
  </mc:AlternateContent>
  <xr:revisionPtr revIDLastSave="0" documentId="8_{90D35888-CC71-4D85-9B15-A3599FA80317}" xr6:coauthVersionLast="47" xr6:coauthVersionMax="47" xr10:uidLastSave="{00000000-0000-0000-0000-000000000000}"/>
  <bookViews>
    <workbookView xWindow="-108" yWindow="-108" windowWidth="30936" windowHeight="16896" activeTab="5" xr2:uid="{00000000-000D-0000-FFFF-FFFF00000000}"/>
  </bookViews>
  <sheets>
    <sheet name="01 帧数总表" sheetId="2" r:id="rId1"/>
    <sheet name="02 伤害与DPS" sheetId="3" r:id="rId2"/>
    <sheet name="03 形态与Buff" sheetId="4" r:id="rId3"/>
    <sheet name="04 基础动作组" sheetId="5" r:id="rId4"/>
    <sheet name="05 特效色板" sheetId="6" r:id="rId5"/>
    <sheet name="06 音效与震屏" sheetId="7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C15" i="5"/>
  <c r="C14" i="5"/>
  <c r="C13" i="5"/>
  <c r="C12" i="5"/>
  <c r="C11" i="5"/>
  <c r="C10" i="5"/>
  <c r="C9" i="5"/>
  <c r="C8" i="5"/>
  <c r="C7" i="5"/>
  <c r="C6" i="5"/>
  <c r="C5" i="5"/>
  <c r="G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E22" i="2"/>
  <c r="D22" i="2"/>
  <c r="C22" i="2"/>
  <c r="B22" i="2"/>
  <c r="H21" i="2"/>
  <c r="G21" i="2"/>
  <c r="F21" i="2"/>
  <c r="H20" i="2"/>
  <c r="G20" i="2"/>
  <c r="F20" i="2"/>
  <c r="H19" i="2"/>
  <c r="G19" i="2"/>
  <c r="F19" i="2"/>
  <c r="H18" i="2"/>
  <c r="G18" i="2"/>
  <c r="G22" i="2" s="1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H22" i="2" s="1"/>
  <c r="G3" i="2"/>
  <c r="F3" i="2"/>
  <c r="F22" i="2" s="1"/>
</calcChain>
</file>

<file path=xl/sharedStrings.xml><?xml version="1.0" encoding="utf-8"?>
<sst xmlns="http://schemas.openxmlformats.org/spreadsheetml/2006/main" count="484" uniqueCount="411">
  <si>
    <t>动作名称</t>
  </si>
  <si>
    <t>总帧</t>
  </si>
  <si>
    <t>Startup 前摇</t>
  </si>
  <si>
    <t>Active 判定</t>
  </si>
  <si>
    <t>Recovery 后摇</t>
  </si>
  <si>
    <t>总时长 (ms)</t>
  </si>
  <si>
    <t>前摇 ms</t>
  </si>
  <si>
    <t>后摇 ms</t>
  </si>
  <si>
    <t>性能等级</t>
  </si>
  <si>
    <t>1A · 目标确认·双连点射</t>
  </si>
  <si>
    <t>2A · 战术压制·齐射</t>
  </si>
  <si>
    <t>3A · 体术踢击·架枪</t>
  </si>
  <si>
    <t>4A · 持续连射·架设 (1秒)</t>
  </si>
  <si>
    <t>5A · 过热激光·灼烧</t>
  </si>
  <si>
    <t>重击 HA · 架设强化压制</t>
  </si>
  <si>
    <t>R→S 步枪→狙击切换</t>
  </si>
  <si>
    <t>S→R 狙击→步枪切换</t>
  </si>
  <si>
    <t>普通狙击 (未蓄满)</t>
  </si>
  <si>
    <t>满蓄力高精度狙击</t>
  </si>
  <si>
    <t>终极技能 Burst (总)</t>
  </si>
  <si>
    <t>侧闪 (左/右)</t>
  </si>
  <si>
    <t>前向翻滚</t>
  </si>
  <si>
    <t>狙击态后跳拉开</t>
  </si>
  <si>
    <t>轻受击 Small Hit</t>
  </si>
  <si>
    <t>重受击 / 击退</t>
  </si>
  <si>
    <t>眩晕 (气绝)</t>
  </si>
  <si>
    <t>倒地起身</t>
  </si>
  <si>
    <t>死亡动画</t>
  </si>
  <si>
    <t>汇总 (AVERAGE)</t>
  </si>
  <si>
    <t>共 19 项动作</t>
  </si>
  <si>
    <t>02 · 伤害倍率 / DPS 等级 / 冷酷层数加成</t>
  </si>
  <si>
    <t>动作</t>
  </si>
  <si>
    <t>基础倍率</t>
  </si>
  <si>
    <t>触发条件</t>
  </si>
  <si>
    <t>附加效果</t>
  </si>
  <si>
    <t>冷酷100层加成</t>
  </si>
  <si>
    <t>**最大倍率**</t>
  </si>
  <si>
    <t>单轮总时长(s)</t>
  </si>
  <si>
    <t>DPS等级</t>
  </si>
  <si>
    <t>1A Double Tap</t>
  </si>
  <si>
    <t>1.1x</t>
  </si>
  <si>
    <t>第1段普攻</t>
  </si>
  <si>
    <t>同一弹孔精度 + 3F Hit Stop</t>
  </si>
  <si>
    <t>-</t>
  </si>
  <si>
    <t>B</t>
  </si>
  <si>
    <t>2A 齐射</t>
  </si>
  <si>
    <t>1.4x</t>
  </si>
  <si>
    <t>衔接 1A</t>
  </si>
  <si>
    <t>双枪 4 发点射，2°外扩散布</t>
  </si>
  <si>
    <t>B+</t>
  </si>
  <si>
    <t>3A 踢击+架枪</t>
  </si>
  <si>
    <t>1.6x</t>
  </si>
  <si>
    <t>衔接 2A</t>
  </si>
  <si>
    <t>击退 0.8m + 落地衔接射击</t>
  </si>
  <si>
    <t>A-</t>
  </si>
  <si>
    <t>4A 连射 (60发)</t>
  </si>
  <si>
    <t>2.0x / 发</t>
  </si>
  <si>
    <t>长按普攻</t>
  </si>
  <si>
    <t>过热阈值 60发，移速50%</t>
  </si>
  <si>
    <t>A</t>
  </si>
  <si>
    <t>5A 过热终结</t>
  </si>
  <si>
    <t>3.5x + DoT</t>
  </si>
  <si>
    <t>4A 过热/手动</t>
  </si>
  <si>
    <t>半径3m爆炸 + 1.2s 地面灼烧</t>
  </si>
  <si>
    <t>S</t>
  </si>
  <si>
    <t>重击 HA</t>
  </si>
  <si>
    <t>4.2x 累积</t>
  </si>
  <si>
    <t>单独重击键</t>
  </si>
  <si>
    <t>6F 无缝衔接 5A</t>
  </si>
  <si>
    <t>普通狙击 (未蓄)</t>
  </si>
  <si>
    <t>2.8x</t>
  </si>
  <si>
    <t>开镜任意帧</t>
  </si>
  <si>
    <t>850m/s 弹道 12cm下坠</t>
  </si>
  <si>
    <t>—</t>
  </si>
  <si>
    <t>满蓄狙击 Charged</t>
  </si>
  <si>
    <t>6.0x</t>
  </si>
  <si>
    <t>蓄力满 1.0s</t>
  </si>
  <si>
    <t>12F HitStop + 朝圣者标识集火3s</t>
  </si>
  <si>
    <t>+30% (若75层冷酷)</t>
  </si>
  <si>
    <t>S+</t>
  </si>
  <si>
    <t>终极技能 Burst</t>
  </si>
  <si>
    <t>15.0x</t>
  </si>
  <si>
    <t>大招指令</t>
  </si>
  <si>
    <t>贯穿 3 名敌人 + 18F HitStop</t>
  </si>
  <si>
    <t>+80% (满100层)</t>
  </si>
  <si>
    <t>SSS</t>
  </si>
  <si>
    <t>步枪爆发循环</t>
  </si>
  <si>
    <t>11.8x 总倍率</t>
  </si>
  <si>
    <t>1A→2A→3A→HA→5A</t>
  </si>
  <si>
    <t>推荐 BOSS 窗口输出</t>
  </si>
  <si>
    <t>斩杀循环</t>
  </si>
  <si>
    <t>2x (满蓄) × 2</t>
  </si>
  <si>
    <t>叠满荣誉→切狙→2连</t>
  </si>
  <si>
    <t>冷酷100层 0.8s蓄第2发</t>
  </si>
  <si>
    <t>≈3.2</t>
  </si>
  <si>
    <t>说明：冷酷100层 +80% 仅作用于终极技能；冷酷75层 +30% 仅作用于满蓄狙击。数值来源同PDF第七章。</t>
  </si>
  <si>
    <t>03 · 形态切换参数 + [荣誉]/[冷酷] Buff 系统</t>
  </si>
  <si>
    <t>A. 形态切换 (Form Shift)</t>
  </si>
  <si>
    <t>切换方向</t>
  </si>
  <si>
    <t>总帧(ms换算)</t>
  </si>
  <si>
    <t>无敌帧区间</t>
  </si>
  <si>
    <t>冷却</t>
  </si>
  <si>
    <t>期间双步枪行为</t>
  </si>
  <si>
    <t>期间移速</t>
  </si>
  <si>
    <t>动作步骤</t>
  </si>
  <si>
    <t>步枪 → 狙击 (R→S)</t>
  </si>
  <si>
    <t>40F (667 ms)</t>
  </si>
  <si>
    <t>F14~F25 (共12F)</t>
  </si>
  <si>
    <t>1.5 s</t>
  </si>
  <si>
    <t>落地后(F8~F10)部署为 AI 自主攻击 (4.3 FSM)</t>
  </si>
  <si>
    <t>→ 0% (动作中) → 36% 开镜</t>
  </si>
  <si>
    <t>①部署支架 ②护目镜下压 ③拔狙击枪 ④后跳拉开</t>
  </si>
  <si>
    <t>狙击 → 步枪 (S→R)</t>
  </si>
  <si>
    <t>32F (533 ms)</t>
  </si>
  <si>
    <t>F8~F18 (共11F)</t>
  </si>
  <si>
    <t>1.2 s</t>
  </si>
  <si>
    <t>F19 从地面升起回到悬浮轨道</t>
  </si>
  <si>
    <t>→ 0% → 100%</t>
  </si>
  <si>
    <t>①狙击枪归位挂载 ②双步枪同步回收 ③步姿切换</t>
  </si>
  <si>
    <t>B. [ 荣誉 ] HONOR  —  步枪态叠加  (守护切片)</t>
  </si>
  <si>
    <t>阈值层数</t>
  </si>
  <si>
    <t>达到时长(约)</t>
  </si>
  <si>
    <t>数值效果</t>
  </si>
  <si>
    <t>护目镜表现</t>
  </si>
  <si>
    <t>身体动作表现</t>
  </si>
  <si>
    <t>标识特效</t>
  </si>
  <si>
    <t>衰减规则</t>
  </si>
  <si>
    <t>25 层</t>
  </si>
  <si>
    <t>≈ 3.1 s (纯步枪)</t>
  </si>
  <si>
    <t>移速 +5%</t>
  </si>
  <si>
    <t>边框: 深灰 → 暖金 25%</t>
  </si>
  <si>
    <t>切狙击态: -12层/秒</t>
  </si>
  <si>
    <t>50 层</t>
  </si>
  <si>
    <t>≈ 6.3 s</t>
  </si>
  <si>
    <t>换弹/切枪 +10%</t>
  </si>
  <si>
    <t>暖金 50%</t>
  </si>
  <si>
    <t>待机 4s 一次 0.3°巡望</t>
  </si>
  <si>
    <t>左臂徽章微光脉冲</t>
  </si>
  <si>
    <t>脱战5s后: -20层/秒</t>
  </si>
  <si>
    <t>75 层</t>
  </si>
  <si>
    <t>≈ 9.4 s</t>
  </si>
  <si>
    <t>4A 过热阈值 +20发</t>
  </si>
  <si>
    <t>暖金 75%</t>
  </si>
  <si>
    <t>巡望频率 2.5s/次</t>
  </si>
  <si>
    <t>脉冲频率提升 2x</t>
  </si>
  <si>
    <t>同左</t>
  </si>
  <si>
    <t>100 层 (上限)</t>
  </si>
  <si>
    <t>≈ 12.5 s</t>
  </si>
  <si>
    <t>3A 踢击附带 1.5s 群体嘲讽 (5m)</t>
  </si>
  <si>
    <t>全暖金色</t>
  </si>
  <si>
    <t>巡望 + 间歇微点头</t>
  </si>
  <si>
    <t>30cm金色六芒守护纹投影</t>
  </si>
  <si>
    <t>C. [ 冷酷 ] APATHY  —  狙击态叠加  (歼灭切片)</t>
  </si>
  <si>
    <t>≈ 4.2 s (纯狙击)</t>
  </si>
  <si>
    <t>开镜时间 -15%</t>
  </si>
  <si>
    <t>边框: 深灰 → 冰蓝 25%</t>
  </si>
  <si>
    <t>切步枪态: -10层/秒</t>
  </si>
  <si>
    <t>≈ 8.3 s</t>
  </si>
  <si>
    <t>蓄力速度 +20% (0.8s满蓄)</t>
  </si>
  <si>
    <t>冰蓝 50%</t>
  </si>
  <si>
    <t>视线固定前方，身体绝对静止 &lt;0.1°/s</t>
  </si>
  <si>
    <t>准星四角微芒点亮</t>
  </si>
  <si>
    <t>脱战5s后: -15层/秒</t>
  </si>
  <si>
    <t>满蓄伤害 +30%</t>
  </si>
  <si>
    <t>冰蓝 75%</t>
  </si>
  <si>
    <t>呼吸摆动从 ±0.4° → ±0.2°</t>
  </si>
  <si>
    <t>记忆碎片粒子 (50%亮度)</t>
  </si>
  <si>
    <t>≈ 16.7 s</t>
  </si>
  <si>
    <t>满蓄后 0.8s 蓄第2发 (不关镜)</t>
  </si>
  <si>
    <t>全冰蓝色</t>
  </si>
  <si>
    <t>完全静止 &lt; 0.05°/s</t>
  </si>
  <si>
    <t>记忆碎片粒子拉满 + 枪口冷雾</t>
  </si>
  <si>
    <t>04 · Locomotion — 待机 / 移动 / 闪避 / 跳跃 + 受击死亡</t>
  </si>
  <si>
    <t>A. 待机 (Idle)</t>
  </si>
  <si>
    <t>循环帧数</t>
  </si>
  <si>
    <t>时长(秒)</t>
  </si>
  <si>
    <t>重心偏移</t>
  </si>
  <si>
    <t>移速 (单位/s)</t>
  </si>
  <si>
    <t>步幅 (cm)</t>
  </si>
  <si>
    <t>设计依据</t>
  </si>
  <si>
    <t>待机 A 基准</t>
  </si>
  <si>
    <t>±6 mm 呼吸级</t>
  </si>
  <si>
    <t>默认态</t>
  </si>
  <si>
    <t>呼吸级重心 + 机械义指自检 2°微屈</t>
  </si>
  <si>
    <t>待机 B 警觉</t>
  </si>
  <si>
    <t>±12 mm</t>
  </si>
  <si>
    <t>仇恨范围内/切形态3s内</t>
  </si>
  <si>
    <t>战术前倾 5° + 食指轻叩 0.6s/次节奏</t>
  </si>
  <si>
    <t>行走 Walk</t>
  </si>
  <si>
    <t>±22 mm 髋摆</t>
  </si>
  <si>
    <t>WASD 轻推</t>
  </si>
  <si>
    <t>Froude=0.25 自然行走区间</t>
  </si>
  <si>
    <t>慢跑 Jog</t>
  </si>
  <si>
    <t>±40 mm</t>
  </si>
  <si>
    <t>短距突进</t>
  </si>
  <si>
    <t>浮动锁止抵消 70% 颠簸</t>
  </si>
  <si>
    <t>冲刺 Sprint</t>
  </si>
  <si>
    <t>±55 mm</t>
  </si>
  <si>
    <t>Shift+W</t>
  </si>
  <si>
    <t>狙击态禁用；护目镜抗风下压</t>
  </si>
  <si>
    <t>侧向横移 Strafe</t>
  </si>
  <si>
    <t>±28 mm</t>
  </si>
  <si>
    <t>2.2~3.8</t>
  </si>
  <si>
    <t>A/D 保持瞄准</t>
  </si>
  <si>
    <t>交叉步，肩髋分离 30~45°</t>
  </si>
  <si>
    <t>后退 Backpedal</t>
  </si>
  <si>
    <t>±15 mm</t>
  </si>
  <si>
    <t>每步末 2F 足尖微停顿，表现谨慎</t>
  </si>
  <si>
    <t>位移 3.2m</t>
  </si>
  <si>
    <t>空格+W</t>
  </si>
  <si>
    <t>无敌帧 F5~F14</t>
  </si>
  <si>
    <t>后向跳跃</t>
  </si>
  <si>
    <t>位移 2.6m</t>
  </si>
  <si>
    <t>空格+S</t>
  </si>
  <si>
    <t>无敌帧 F4~F12</t>
  </si>
  <si>
    <t>侧闪 Dodge</t>
  </si>
  <si>
    <t>位移 2.4m</t>
  </si>
  <si>
    <t>空格+A/D</t>
  </si>
  <si>
    <t>KPI: 2F前摇=33ms (Doherty内)</t>
  </si>
  <si>
    <t>位移 3.8m</t>
  </si>
  <si>
    <t>切形态步骤④</t>
  </si>
  <si>
    <t>6F 前摇 符合开镜机动衰减</t>
  </si>
  <si>
    <t>跳跃全程</t>
  </si>
  <si>
    <t>顶点 +120cm</t>
  </si>
  <si>
    <t>空格</t>
  </si>
  <si>
    <t>F13 滞空零重力 4F 允许空中射击</t>
  </si>
  <si>
    <t>B. 受击 / 倒地 / 死亡 (Hit / Stun / Death)</t>
  </si>
  <si>
    <t>类型</t>
  </si>
  <si>
    <t>前摇</t>
  </si>
  <si>
    <t>动作表现</t>
  </si>
  <si>
    <t>无敌帧</t>
  </si>
  <si>
    <t>可操作帧</t>
  </si>
  <si>
    <t>Hit Stop档</t>
  </si>
  <si>
    <t>设计理由</t>
  </si>
  <si>
    <t>轻受击 Small</t>
  </si>
  <si>
    <t>躯干反向 5~8° + 步枪补偿 2cm</t>
  </si>
  <si>
    <t>F15 起</t>
  </si>
  <si>
    <t>3F</t>
  </si>
  <si>
    <t>60% 受击概率 最低档反馈</t>
  </si>
  <si>
    <t>中受击 Medium</t>
  </si>
  <si>
    <t>同侧重步 20cm + 护目镜亮度骤降</t>
  </si>
  <si>
    <t>6F</t>
  </si>
  <si>
    <t>爆炸/重击命中档</t>
  </si>
  <si>
    <t>重受击 击退</t>
  </si>
  <si>
    <t>后滑 2 步+坐地 位移1.5m</t>
  </si>
  <si>
    <t>F25 起</t>
  </si>
  <si>
    <t>给对手确反窗口（只狼躯干硬直）</t>
  </si>
  <si>
    <t>眩晕 Stun</t>
  </si>
  <si>
    <t>护目镜橙黄故障闪烁 + 双步枪5°失稳</t>
  </si>
  <si>
    <t>F120后</t>
  </si>
  <si>
    <t>NIKKE 人形兵器 机械故障视觉化</t>
  </si>
  <si>
    <t>撑地→前弓→站立</t>
  </si>
  <si>
    <t>F10~F20 (11F)</t>
  </si>
  <si>
    <t>F28 起</t>
  </si>
  <si>
    <t>起身无敌行业标准 10~15F</t>
  </si>
  <si>
    <t>死亡 Death</t>
  </si>
  <si>
    <t>跪→前倾低头→武器脱落→灯光熄灭→横卧</t>
  </si>
  <si>
    <t>兵器生命三层递进: 战力→指挥→机能</t>
  </si>
  <si>
    <t>05 · 视觉特效色板 (Visual FX Palette) — 10 类特效 + Hex 实色预览</t>
  </si>
  <si>
    <t>特效类别</t>
  </si>
  <si>
    <t>主色 (Hex)</t>
  </si>
  <si>
    <t>主色预览</t>
  </si>
  <si>
    <t>辅色</t>
  </si>
  <si>
    <t>辅色预览</t>
  </si>
  <si>
    <t>Alpha 透明度</t>
  </si>
  <si>
    <t>应用频率 / 触发</t>
  </si>
  <si>
    <t>应用场景说明</t>
  </si>
  <si>
    <t>步枪态射击 (枪口焰/曳光)</t>
  </si>
  <si>
    <t>#F5E6A8</t>
  </si>
  <si>
    <t>#C9602C</t>
  </si>
  <si>
    <t>85~95%</t>
  </si>
  <si>
    <t>每发子弹</t>
  </si>
  <si>
    <t>1A~4A 各段发射；与双步枪同步</t>
  </si>
  <si>
    <t>4A 过热枪管过渡</t>
  </si>
  <si>
    <t>#FF7A33</t>
  </si>
  <si>
    <t>#FF2A2A</t>
  </si>
  <si>
    <t>70~100%</t>
  </si>
  <si>
    <t>4A 发射 45~60发</t>
  </si>
  <si>
    <t>枪管由白→橙→红 渐变（白/橙/红三阶段），45发起显示警告</t>
  </si>
  <si>
    <t>5A 激光 + 爆炸外圈</t>
  </si>
  <si>
    <t>#4A7CC9</t>
  </si>
  <si>
    <t>#FF6B35</t>
  </si>
  <si>
    <t>90% / 80%</t>
  </si>
  <si>
    <t>单次 5A</t>
  </si>
  <si>
    <t>激光束核心蓝(冷) + 爆炸外圈橙(暖)，冷暖对比</t>
  </si>
  <si>
    <t>狙击态普通弹道</t>
  </si>
  <si>
    <t>#E8E8EE</t>
  </si>
  <si>
    <t>#9BA3B2</t>
  </si>
  <si>
    <t>80%</t>
  </si>
  <si>
    <t>普通狙击单发</t>
  </si>
  <si>
    <t>与满蓄蓝色激光形成明确视觉区分</t>
  </si>
  <si>
    <t>满蓄狙击 450nm 激光</t>
  </si>
  <si>
    <t>#00BFFF</t>
  </si>
  <si>
    <t>#FFFFFF</t>
  </si>
  <si>
    <t>85~100%</t>
  </si>
  <si>
    <t>满蓄 F8 判定</t>
  </si>
  <si>
    <t>亮蓝外鞘+纯白核心，体现高功率定向能</t>
  </si>
  <si>
    <t>朝圣者标识 (集火)</t>
  </si>
  <si>
    <t>#D4A853</t>
  </si>
  <si>
    <t>#FFF2C8</t>
  </si>
  <si>
    <t>75%</t>
  </si>
  <si>
    <t>满蓄命中 + 3s 保持</t>
  </si>
  <si>
    <t>金色六边形 Logo + 环绕粒子环，命中目标处</t>
  </si>
  <si>
    <t>[荣誉] Buff 视觉</t>
  </si>
  <si>
    <t>#E8B96A</t>
  </si>
  <si>
    <t>#FFD98E</t>
  </si>
  <si>
    <t>40~60%</t>
  </si>
  <si>
    <t>荣誉25层起叠加</t>
  </si>
  <si>
    <t>护目镜边框色阶 + 左臂徽章脉冲 + 地面守护纹</t>
  </si>
  <si>
    <t>[冷酷] Buff 视觉</t>
  </si>
  <si>
    <t>#6AB4FF</t>
  </si>
  <si>
    <t>#C7E2FF</t>
  </si>
  <si>
    <t>冷酷25层起叠加</t>
  </si>
  <si>
    <t>护目镜边框色阶 + 准星微芒 + 记忆碎片粒子</t>
  </si>
  <si>
    <t>大招 M1/M2/M3 能量</t>
  </si>
  <si>
    <t>95~100%</t>
  </si>
  <si>
    <t>F19~F210 演出</t>
  </si>
  <si>
    <t>能量束从白→蓝渐变（主辅色反转表达渐变），M2枪身环 + M3准星弧，加金色边框 #D4A853</t>
  </si>
  <si>
    <t>受击故障 HUD</t>
  </si>
  <si>
    <t>#FF5A5A</t>
  </si>
  <si>
    <t>#1A1A1A</t>
  </si>
  <si>
    <t>60%</t>
  </si>
  <si>
    <t>气绝/眩晕状态</t>
  </si>
  <si>
    <t>护目镜橙黄转红，黑屏脉冲每 10F 一次（辅色代表闪烁黑）</t>
  </si>
  <si>
    <t>06 · 音效频率谱 (SFX Frequency) + 镜头/屏幕反馈参数</t>
  </si>
  <si>
    <t>A. 音效设计 (按声学频段标注)</t>
  </si>
  <si>
    <t>事件</t>
  </si>
  <si>
    <t>主频率</t>
  </si>
  <si>
    <t>时长</t>
  </si>
  <si>
    <t>层次说明</t>
  </si>
  <si>
    <t>与动画同步帧</t>
  </si>
  <si>
    <t>音量 (dB)</t>
  </si>
  <si>
    <t>参考作品 / 设计思路</t>
  </si>
  <si>
    <t>120Hz 低频 + 8kHz 击针</t>
  </si>
  <si>
    <t>2 × 45ms, 间隔67ms</t>
  </si>
  <si>
    <t>3dB 递进差（第2发更响）</t>
  </si>
  <si>
    <t>F9/F10/F13/F14 4发判定</t>
  </si>
  <si>
    <t>-2dB</t>
  </si>
  <si>
    <t>战术射击 Double Tap 标准间隔 50~80ms</t>
  </si>
  <si>
    <t>4A 架设连射</t>
  </si>
  <si>
    <t>85Hz 循环底 + 2~5kHz 机械</t>
  </si>
  <si>
    <t>单发 30ms 无缝循环</t>
  </si>
  <si>
    <t>每12发叠加一层 150Hz 垫音</t>
  </si>
  <si>
    <t>每 3F 一发 (20发/秒)</t>
  </si>
  <si>
    <t>-3dB 累积</t>
  </si>
  <si>
    <t>7.62mm 加特林类射速区间 18~22 发/s</t>
  </si>
  <si>
    <t>满蓄狙击发射</t>
  </si>
  <si>
    <t>30Hz 次低频 + 12kHz 激光啸</t>
  </si>
  <si>
    <t>主 180ms + 尾 500ms</t>
  </si>
  <si>
    <t>战地反器材 + Apex 哨兵充能狙混合</t>
  </si>
  <si>
    <t>F8 判定帧 精确对齐</t>
  </si>
  <si>
    <t>-1dB 峰值</t>
  </si>
  <si>
    <t>5Hz 超低频触发手柄体感震动</t>
  </si>
  <si>
    <t>形态切换 Form Shift</t>
  </si>
  <si>
    <t>500Hz→2kHz 上升电子扫频</t>
  </si>
  <si>
    <t>300ms</t>
  </si>
  <si>
    <t>F1/F4/F14 三次动作峰值对齐</t>
  </si>
  <si>
    <t>支架/护目镜/拔枪三点</t>
  </si>
  <si>
    <t>科幻风格 三动作点三峰值</t>
  </si>
  <si>
    <t>满蓄锁定·朝圣者</t>
  </si>
  <si>
    <t>A4 (440Hz) 纯音 + 金色谐波</t>
  </si>
  <si>
    <t>持续 2.5s</t>
  </si>
  <si>
    <t>每 0.5s 一个脉冲，叠加双步枪AI射击之上</t>
  </si>
  <si>
    <t>满蓄命中后 3s</t>
  </si>
  <si>
    <t>-4dB 背景</t>
  </si>
  <si>
    <t>Buff层满 (100层)</t>
  </si>
  <si>
    <t>1kHz→2kHz 两音阶+低频底</t>
  </si>
  <si>
    <t>400ms</t>
  </si>
  <si>
    <t>大三和弦=荣誉 (暖) / 小三和弦=冷酷 (冷)</t>
  </si>
  <si>
    <t>层数达到 100 的帧</t>
  </si>
  <si>
    <t>-3dB</t>
  </si>
  <si>
    <t>听觉化区分两个人格切片</t>
  </si>
  <si>
    <t>大招 F195 判定帧</t>
  </si>
  <si>
    <t>5Hz 超低频 (体感级) + 全频段白</t>
  </si>
  <si>
    <t>主 250ms + 尾 1s 衰减</t>
  </si>
  <si>
    <t>声学爆炸冲击波模型</t>
  </si>
  <si>
    <t>F195 精确同步 18F HitStop</t>
  </si>
  <si>
    <t>0dB 峰值</t>
  </si>
  <si>
    <t>爆炸冲击波声学模型 次低频不可闻但体感</t>
  </si>
  <si>
    <t>B. 镜头震动 / Hit Stop / 径向畸变 反馈档位</t>
  </si>
  <si>
    <t>档位</t>
  </si>
  <si>
    <t>Hit Stop 帧</t>
  </si>
  <si>
    <t>屏幕震动 (px)</t>
  </si>
  <si>
    <t>径向畸变 %</t>
  </si>
  <si>
    <t>适用情况</t>
  </si>
  <si>
    <t>慢放特效</t>
  </si>
  <si>
    <t>1 轻档</t>
  </si>
  <si>
    <t>水平 4 + 垂直 2</t>
  </si>
  <si>
    <t>0%</t>
  </si>
  <si>
    <t>1A/2A/普通狙击 命中</t>
  </si>
  <si>
    <t>最低档 反馈清晰但不干扰</t>
  </si>
  <si>
    <t>无</t>
  </si>
  <si>
    <t>2 中档</t>
  </si>
  <si>
    <t>水平 8 + 垂直 5</t>
  </si>
  <si>
    <t>3A踢击/5A激光/中受击</t>
  </si>
  <si>
    <t>战术打击命中阻滞感</t>
  </si>
  <si>
    <t>3 高档</t>
  </si>
  <si>
    <t>水平 12 + 垂直 8</t>
  </si>
  <si>
    <t>15% (5A) / 25% (满蓄)</t>
  </si>
  <si>
    <t>满蓄狙击/重击/重受击</t>
  </si>
  <si>
    <t>命中时大脑处理时间需要阻滞感</t>
  </si>
  <si>
    <t>4 大招档</t>
  </si>
  <si>
    <t>水平 20 + 垂直 12</t>
  </si>
  <si>
    <t>40%</t>
  </si>
  <si>
    <t>电影化 暂停级反馈，唯一档使用慢放</t>
  </si>
  <si>
    <t>0.3x 慢放 8F (仅此档)</t>
  </si>
  <si>
    <t>执行规则：① 水平+垂直震屏不同时&gt;10px（防晕动）；② 畸变特效仅 5A/满蓄/大招 三档可用；③ 慢放仅大招F195后8F；④ 频率与伤害值线性挂钩，上限 20px。</t>
  </si>
  <si>
    <t>01 · 核心动作拆解总表 (Startup / Active / Recovery)</t>
    <phoneticPr fontId="15" type="noConversion"/>
  </si>
  <si>
    <t>S(可循环)</t>
    <phoneticPr fontId="15" type="noConversion"/>
  </si>
  <si>
    <t>S</t>
    <phoneticPr fontId="15" type="noConversion"/>
  </si>
  <si>
    <t>纯音 A4  440Hz 定弦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</si>
</sst>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family val="2"/>
      <scheme val="minor"/>
    </font>
    <font>
      <b/>
      <sz val="12"/>
      <color rgb="FF1A2744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color rgb="FF1F2937"/>
      <name val="微软雅黑"/>
      <family val="2"/>
      <charset val="134"/>
    </font>
    <font>
      <b/>
      <sz val="11"/>
      <color rgb="FF1F2937"/>
      <name val="微软雅黑"/>
      <family val="2"/>
      <charset val="134"/>
    </font>
    <font>
      <b/>
      <sz val="10"/>
      <color rgb="FF92400E"/>
      <name val="微软雅黑"/>
      <family val="2"/>
      <charset val="134"/>
    </font>
    <font>
      <b/>
      <sz val="10"/>
      <color rgb="FF1E3A8A"/>
      <name val="微软雅黑"/>
      <family val="2"/>
      <charset val="134"/>
    </font>
    <font>
      <b/>
      <sz val="14"/>
      <color rgb="FF1A2744"/>
      <name val="微软雅黑"/>
      <family val="2"/>
      <charset val="134"/>
    </font>
    <font>
      <b/>
      <sz val="10"/>
      <color rgb="FF1A2744"/>
      <name val="微软雅黑"/>
      <family val="2"/>
      <charset val="134"/>
    </font>
    <font>
      <b/>
      <sz val="11"/>
      <color rgb="FF991B1B"/>
      <name val="微软雅黑"/>
      <family val="2"/>
      <charset val="134"/>
    </font>
    <font>
      <i/>
      <sz val="9"/>
      <color rgb="FF6B7280"/>
      <name val="微软雅黑"/>
      <family val="2"/>
      <charset val="134"/>
    </font>
    <font>
      <b/>
      <sz val="12"/>
      <color rgb="FFB45309"/>
      <name val="微软雅黑"/>
      <family val="2"/>
      <charset val="134"/>
    </font>
    <font>
      <b/>
      <sz val="12"/>
      <color rgb="FF1E3A8A"/>
      <name val="微软雅黑"/>
      <family val="2"/>
      <charset val="134"/>
    </font>
    <font>
      <b/>
      <sz val="12"/>
      <color rgb="FF7F1D1D"/>
      <name val="微软雅黑"/>
      <family val="2"/>
      <charset val="134"/>
    </font>
    <font>
      <b/>
      <sz val="12"/>
      <color rgb="FF166534"/>
      <name val="微软雅黑"/>
      <family val="2"/>
      <charset val="134"/>
    </font>
    <font>
      <sz val="9"/>
      <name val="宋体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EEF2F9"/>
      </patternFill>
    </fill>
    <fill>
      <patternFill patternType="solid">
        <fgColor rgb="FF2C3E6B"/>
      </patternFill>
    </fill>
    <fill>
      <patternFill patternType="solid">
        <fgColor rgb="FFEAF2FF"/>
      </patternFill>
    </fill>
    <fill>
      <patternFill patternType="solid">
        <fgColor rgb="FFFFF7E6"/>
      </patternFill>
    </fill>
    <fill>
      <patternFill patternType="solid">
        <fgColor rgb="FFFFE5E5"/>
      </patternFill>
    </fill>
    <fill>
      <patternFill patternType="solid">
        <fgColor rgb="FFE6FFED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F5E6A8"/>
      </patternFill>
    </fill>
    <fill>
      <patternFill patternType="solid">
        <fgColor rgb="FFC9602C"/>
      </patternFill>
    </fill>
    <fill>
      <patternFill patternType="solid">
        <fgColor rgb="FFFF7A33"/>
      </patternFill>
    </fill>
    <fill>
      <patternFill patternType="solid">
        <fgColor rgb="FFFF2A2A"/>
      </patternFill>
    </fill>
    <fill>
      <patternFill patternType="solid">
        <fgColor rgb="FF4A7CC9"/>
      </patternFill>
    </fill>
    <fill>
      <patternFill patternType="solid">
        <fgColor rgb="FFFF6B35"/>
      </patternFill>
    </fill>
    <fill>
      <patternFill patternType="solid">
        <fgColor rgb="FFE8E8EE"/>
      </patternFill>
    </fill>
    <fill>
      <patternFill patternType="solid">
        <fgColor rgb="FF9BA3B2"/>
      </patternFill>
    </fill>
    <fill>
      <patternFill patternType="solid">
        <fgColor rgb="FFD4A853"/>
      </patternFill>
    </fill>
    <fill>
      <patternFill patternType="solid">
        <fgColor rgb="FFFFF2C8"/>
      </patternFill>
    </fill>
    <fill>
      <patternFill patternType="solid">
        <fgColor rgb="FFE8B96A"/>
      </patternFill>
    </fill>
    <fill>
      <patternFill patternType="solid">
        <fgColor rgb="FFFFD98E"/>
      </patternFill>
    </fill>
    <fill>
      <patternFill patternType="solid">
        <fgColor rgb="FFFF5A5A"/>
      </patternFill>
    </fill>
    <fill>
      <patternFill patternType="solid">
        <fgColor rgb="FF1A1A1A"/>
      </patternFill>
    </fill>
  </fills>
  <borders count="3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/>
    <xf numFmtId="0" fontId="8" fillId="0" borderId="2" xfId="0" applyFont="1" applyBorder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1" fillId="0" borderId="0" xfId="0" applyFont="1"/>
    <xf numFmtId="0" fontId="12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13" fillId="6" borderId="1" xfId="0" applyFont="1" applyFill="1" applyBorder="1"/>
    <xf numFmtId="0" fontId="0" fillId="6" borderId="1" xfId="0" applyFill="1" applyBorder="1"/>
    <xf numFmtId="0" fontId="14" fillId="7" borderId="1" xfId="0" applyFont="1" applyFill="1" applyBorder="1"/>
    <xf numFmtId="0" fontId="0" fillId="7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Q22" sqref="Q22"/>
    </sheetView>
  </sheetViews>
  <sheetFormatPr defaultRowHeight="14.4" x14ac:dyDescent="0.25"/>
  <cols>
    <col min="1" max="1" width="30" customWidth="1"/>
    <col min="2" max="2" width="8" customWidth="1"/>
    <col min="3" max="3" width="12" customWidth="1"/>
    <col min="4" max="4" width="10" customWidth="1"/>
    <col min="5" max="5" width="12" customWidth="1"/>
    <col min="6" max="6" width="11" customWidth="1"/>
    <col min="7" max="8" width="10" customWidth="1"/>
    <col min="9" max="9" width="12" customWidth="1"/>
  </cols>
  <sheetData>
    <row r="1" spans="1:9" ht="20.399999999999999" x14ac:dyDescent="0.45">
      <c r="A1" s="32" t="s">
        <v>407</v>
      </c>
      <c r="B1" s="33"/>
      <c r="C1" s="33"/>
      <c r="D1" s="33"/>
      <c r="E1" s="33"/>
      <c r="F1" s="33"/>
      <c r="G1" s="33"/>
      <c r="H1" s="33"/>
      <c r="I1" s="33"/>
    </row>
    <row r="2" spans="1:9" ht="32.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5" x14ac:dyDescent="0.25">
      <c r="A3" s="5" t="s">
        <v>9</v>
      </c>
      <c r="B3" s="7">
        <v>30</v>
      </c>
      <c r="C3" s="7">
        <v>8</v>
      </c>
      <c r="D3" s="7">
        <v>4</v>
      </c>
      <c r="E3" s="7">
        <v>16</v>
      </c>
      <c r="F3" s="7">
        <f t="shared" ref="F3:F21" si="0">ROUND(B3*1000/60,0)</f>
        <v>500</v>
      </c>
      <c r="G3" s="7">
        <f t="shared" ref="G3:G21" si="1">ROUND(C3*1000/60,0)</f>
        <v>133</v>
      </c>
      <c r="H3" s="7">
        <f t="shared" ref="H3:H21" si="2">ROUND(E3*1000/60,0)</f>
        <v>267</v>
      </c>
      <c r="I3" s="7"/>
    </row>
    <row r="4" spans="1:9" ht="15" x14ac:dyDescent="0.25">
      <c r="A4" s="6" t="s">
        <v>10</v>
      </c>
      <c r="B4" s="8">
        <v>36</v>
      </c>
      <c r="C4" s="8">
        <v>10</v>
      </c>
      <c r="D4" s="8">
        <v>4</v>
      </c>
      <c r="E4" s="8">
        <v>22</v>
      </c>
      <c r="F4" s="8">
        <f t="shared" si="0"/>
        <v>600</v>
      </c>
      <c r="G4" s="8">
        <f t="shared" si="1"/>
        <v>167</v>
      </c>
      <c r="H4" s="8">
        <f t="shared" si="2"/>
        <v>367</v>
      </c>
      <c r="I4" s="8"/>
    </row>
    <row r="5" spans="1:9" ht="15" x14ac:dyDescent="0.25">
      <c r="A5" s="5" t="s">
        <v>11</v>
      </c>
      <c r="B5" s="7">
        <v>42</v>
      </c>
      <c r="C5" s="7">
        <v>12</v>
      </c>
      <c r="D5" s="7">
        <v>6</v>
      </c>
      <c r="E5" s="7">
        <v>20</v>
      </c>
      <c r="F5" s="7">
        <f t="shared" si="0"/>
        <v>700</v>
      </c>
      <c r="G5" s="7">
        <f t="shared" si="1"/>
        <v>200</v>
      </c>
      <c r="H5" s="7">
        <f t="shared" si="2"/>
        <v>333</v>
      </c>
      <c r="I5" s="7"/>
    </row>
    <row r="6" spans="1:9" ht="15" x14ac:dyDescent="0.25">
      <c r="A6" s="6" t="s">
        <v>12</v>
      </c>
      <c r="B6" s="8">
        <v>74</v>
      </c>
      <c r="C6" s="8">
        <v>14</v>
      </c>
      <c r="D6" s="8">
        <v>46</v>
      </c>
      <c r="E6" s="8">
        <v>14</v>
      </c>
      <c r="F6" s="8">
        <f t="shared" si="0"/>
        <v>1233</v>
      </c>
      <c r="G6" s="8">
        <f t="shared" si="1"/>
        <v>233</v>
      </c>
      <c r="H6" s="8">
        <f t="shared" si="2"/>
        <v>233</v>
      </c>
      <c r="I6" s="8"/>
    </row>
    <row r="7" spans="1:9" ht="15" x14ac:dyDescent="0.25">
      <c r="A7" s="5" t="s">
        <v>13</v>
      </c>
      <c r="B7" s="7">
        <v>48</v>
      </c>
      <c r="C7" s="7">
        <v>16</v>
      </c>
      <c r="D7" s="7">
        <v>6</v>
      </c>
      <c r="E7" s="7">
        <v>26</v>
      </c>
      <c r="F7" s="7">
        <f t="shared" si="0"/>
        <v>800</v>
      </c>
      <c r="G7" s="7">
        <f t="shared" si="1"/>
        <v>267</v>
      </c>
      <c r="H7" s="7">
        <f t="shared" si="2"/>
        <v>433</v>
      </c>
      <c r="I7" s="7"/>
    </row>
    <row r="8" spans="1:9" ht="15" x14ac:dyDescent="0.25">
      <c r="A8" s="6" t="s">
        <v>14</v>
      </c>
      <c r="B8" s="8">
        <v>44</v>
      </c>
      <c r="C8" s="8">
        <v>18</v>
      </c>
      <c r="D8" s="8">
        <v>14</v>
      </c>
      <c r="E8" s="8">
        <v>12</v>
      </c>
      <c r="F8" s="8">
        <f t="shared" si="0"/>
        <v>733</v>
      </c>
      <c r="G8" s="8">
        <f t="shared" si="1"/>
        <v>300</v>
      </c>
      <c r="H8" s="8">
        <f t="shared" si="2"/>
        <v>200</v>
      </c>
      <c r="I8" s="8"/>
    </row>
    <row r="9" spans="1:9" ht="15" x14ac:dyDescent="0.25">
      <c r="A9" s="5" t="s">
        <v>15</v>
      </c>
      <c r="B9" s="7">
        <v>40</v>
      </c>
      <c r="C9" s="7">
        <v>0</v>
      </c>
      <c r="D9" s="7">
        <v>12</v>
      </c>
      <c r="E9" s="7">
        <v>25</v>
      </c>
      <c r="F9" s="7">
        <f t="shared" si="0"/>
        <v>667</v>
      </c>
      <c r="G9" s="7">
        <f t="shared" si="1"/>
        <v>0</v>
      </c>
      <c r="H9" s="7">
        <f t="shared" si="2"/>
        <v>417</v>
      </c>
      <c r="I9" s="7"/>
    </row>
    <row r="10" spans="1:9" ht="15" x14ac:dyDescent="0.25">
      <c r="A10" s="6" t="s">
        <v>16</v>
      </c>
      <c r="B10" s="8">
        <v>32</v>
      </c>
      <c r="C10" s="8">
        <v>0</v>
      </c>
      <c r="D10" s="8">
        <v>11</v>
      </c>
      <c r="E10" s="8">
        <v>14</v>
      </c>
      <c r="F10" s="8">
        <f t="shared" si="0"/>
        <v>533</v>
      </c>
      <c r="G10" s="8">
        <f t="shared" si="1"/>
        <v>0</v>
      </c>
      <c r="H10" s="8">
        <f t="shared" si="2"/>
        <v>233</v>
      </c>
      <c r="I10" s="8"/>
    </row>
    <row r="11" spans="1:9" ht="15" x14ac:dyDescent="0.25">
      <c r="A11" s="5" t="s">
        <v>17</v>
      </c>
      <c r="B11" s="7">
        <v>40</v>
      </c>
      <c r="C11" s="7">
        <v>4</v>
      </c>
      <c r="D11" s="7">
        <v>1</v>
      </c>
      <c r="E11" s="7">
        <v>18</v>
      </c>
      <c r="F11" s="7">
        <f t="shared" si="0"/>
        <v>667</v>
      </c>
      <c r="G11" s="7">
        <f t="shared" si="1"/>
        <v>67</v>
      </c>
      <c r="H11" s="7">
        <f t="shared" si="2"/>
        <v>300</v>
      </c>
      <c r="I11" s="7"/>
    </row>
    <row r="12" spans="1:9" ht="16.2" x14ac:dyDescent="0.25">
      <c r="A12" s="6" t="s">
        <v>18</v>
      </c>
      <c r="B12" s="8">
        <v>95</v>
      </c>
      <c r="C12" s="8">
        <v>7</v>
      </c>
      <c r="D12" s="8">
        <v>1</v>
      </c>
      <c r="E12" s="8">
        <v>28</v>
      </c>
      <c r="F12" s="8">
        <f t="shared" si="0"/>
        <v>1583</v>
      </c>
      <c r="G12" s="8">
        <f t="shared" si="1"/>
        <v>117</v>
      </c>
      <c r="H12" s="8">
        <f t="shared" si="2"/>
        <v>467</v>
      </c>
      <c r="I12" s="2"/>
    </row>
    <row r="13" spans="1:9" ht="16.2" x14ac:dyDescent="0.25">
      <c r="A13" s="5" t="s">
        <v>19</v>
      </c>
      <c r="B13" s="7">
        <v>252</v>
      </c>
      <c r="C13" s="7">
        <v>195</v>
      </c>
      <c r="D13" s="7">
        <v>1</v>
      </c>
      <c r="E13" s="7">
        <v>57</v>
      </c>
      <c r="F13" s="7">
        <f t="shared" si="0"/>
        <v>4200</v>
      </c>
      <c r="G13" s="7">
        <f t="shared" si="1"/>
        <v>3250</v>
      </c>
      <c r="H13" s="7">
        <f t="shared" si="2"/>
        <v>950</v>
      </c>
      <c r="I13" s="2"/>
    </row>
    <row r="14" spans="1:9" ht="15" x14ac:dyDescent="0.25">
      <c r="A14" s="6" t="s">
        <v>20</v>
      </c>
      <c r="B14" s="8">
        <v>22</v>
      </c>
      <c r="C14" s="8">
        <v>2</v>
      </c>
      <c r="D14" s="8">
        <v>9</v>
      </c>
      <c r="E14" s="8">
        <v>11</v>
      </c>
      <c r="F14" s="8">
        <f t="shared" si="0"/>
        <v>367</v>
      </c>
      <c r="G14" s="8">
        <f t="shared" si="1"/>
        <v>33</v>
      </c>
      <c r="H14" s="8">
        <f t="shared" si="2"/>
        <v>183</v>
      </c>
      <c r="I14" s="8"/>
    </row>
    <row r="15" spans="1:9" ht="15" x14ac:dyDescent="0.25">
      <c r="A15" s="5" t="s">
        <v>21</v>
      </c>
      <c r="B15" s="7">
        <v>28</v>
      </c>
      <c r="C15" s="7">
        <v>4</v>
      </c>
      <c r="D15" s="7">
        <v>10</v>
      </c>
      <c r="E15" s="7">
        <v>14</v>
      </c>
      <c r="F15" s="7">
        <f t="shared" si="0"/>
        <v>467</v>
      </c>
      <c r="G15" s="7">
        <f t="shared" si="1"/>
        <v>67</v>
      </c>
      <c r="H15" s="7">
        <f t="shared" si="2"/>
        <v>233</v>
      </c>
      <c r="I15" s="7"/>
    </row>
    <row r="16" spans="1:9" ht="15" x14ac:dyDescent="0.25">
      <c r="A16" s="6" t="s">
        <v>22</v>
      </c>
      <c r="B16" s="8">
        <v>34</v>
      </c>
      <c r="C16" s="8">
        <v>6</v>
      </c>
      <c r="D16" s="8">
        <v>12</v>
      </c>
      <c r="E16" s="8">
        <v>16</v>
      </c>
      <c r="F16" s="8">
        <f t="shared" si="0"/>
        <v>567</v>
      </c>
      <c r="G16" s="8">
        <f t="shared" si="1"/>
        <v>100</v>
      </c>
      <c r="H16" s="8">
        <f t="shared" si="2"/>
        <v>267</v>
      </c>
      <c r="I16" s="8"/>
    </row>
    <row r="17" spans="1:9" ht="15" x14ac:dyDescent="0.25">
      <c r="A17" s="5" t="s">
        <v>23</v>
      </c>
      <c r="B17" s="7">
        <v>18</v>
      </c>
      <c r="C17" s="7">
        <v>2</v>
      </c>
      <c r="D17" s="7">
        <v>0</v>
      </c>
      <c r="E17" s="7">
        <v>16</v>
      </c>
      <c r="F17" s="7">
        <f t="shared" si="0"/>
        <v>300</v>
      </c>
      <c r="G17" s="7">
        <f t="shared" si="1"/>
        <v>33</v>
      </c>
      <c r="H17" s="7">
        <f t="shared" si="2"/>
        <v>267</v>
      </c>
      <c r="I17" s="7"/>
    </row>
    <row r="18" spans="1:9" ht="15" x14ac:dyDescent="0.25">
      <c r="A18" s="6" t="s">
        <v>24</v>
      </c>
      <c r="B18" s="8">
        <v>42</v>
      </c>
      <c r="C18" s="8">
        <v>4</v>
      </c>
      <c r="D18" s="8">
        <v>0</v>
      </c>
      <c r="E18" s="8">
        <v>38</v>
      </c>
      <c r="F18" s="8">
        <f t="shared" si="0"/>
        <v>700</v>
      </c>
      <c r="G18" s="8">
        <f t="shared" si="1"/>
        <v>67</v>
      </c>
      <c r="H18" s="8">
        <f t="shared" si="2"/>
        <v>633</v>
      </c>
      <c r="I18" s="8"/>
    </row>
    <row r="19" spans="1:9" ht="15" x14ac:dyDescent="0.25">
      <c r="A19" s="5" t="s">
        <v>25</v>
      </c>
      <c r="B19" s="7">
        <v>120</v>
      </c>
      <c r="C19" s="7">
        <v>8</v>
      </c>
      <c r="D19" s="7">
        <v>0</v>
      </c>
      <c r="E19" s="7">
        <v>112</v>
      </c>
      <c r="F19" s="7">
        <f t="shared" si="0"/>
        <v>2000</v>
      </c>
      <c r="G19" s="7">
        <f t="shared" si="1"/>
        <v>133</v>
      </c>
      <c r="H19" s="7">
        <f t="shared" si="2"/>
        <v>1867</v>
      </c>
      <c r="I19" s="7"/>
    </row>
    <row r="20" spans="1:9" ht="15" x14ac:dyDescent="0.25">
      <c r="A20" s="6" t="s">
        <v>26</v>
      </c>
      <c r="B20" s="8">
        <v>36</v>
      </c>
      <c r="C20" s="8">
        <v>0</v>
      </c>
      <c r="D20" s="8">
        <v>11</v>
      </c>
      <c r="E20" s="8">
        <v>25</v>
      </c>
      <c r="F20" s="8">
        <f t="shared" si="0"/>
        <v>600</v>
      </c>
      <c r="G20" s="8">
        <f t="shared" si="1"/>
        <v>0</v>
      </c>
      <c r="H20" s="8">
        <f t="shared" si="2"/>
        <v>417</v>
      </c>
      <c r="I20" s="8"/>
    </row>
    <row r="21" spans="1:9" ht="15" x14ac:dyDescent="0.25">
      <c r="A21" s="5" t="s">
        <v>27</v>
      </c>
      <c r="B21" s="7">
        <v>180</v>
      </c>
      <c r="C21" s="7">
        <v>10</v>
      </c>
      <c r="D21" s="7">
        <v>0</v>
      </c>
      <c r="E21" s="7">
        <v>170</v>
      </c>
      <c r="F21" s="7">
        <f t="shared" si="0"/>
        <v>3000</v>
      </c>
      <c r="G21" s="7">
        <f t="shared" si="1"/>
        <v>167</v>
      </c>
      <c r="H21" s="7">
        <f t="shared" si="2"/>
        <v>2833</v>
      </c>
      <c r="I21" s="7"/>
    </row>
    <row r="22" spans="1:9" ht="32.4" x14ac:dyDescent="0.25">
      <c r="A22" s="34" t="s">
        <v>28</v>
      </c>
      <c r="B22" s="9">
        <f t="shared" ref="B22:H22" si="3">ROUND(AVERAGE(B3:B21),1)</f>
        <v>63.8</v>
      </c>
      <c r="C22" s="9">
        <f t="shared" si="3"/>
        <v>16.8</v>
      </c>
      <c r="D22" s="9">
        <f t="shared" si="3"/>
        <v>7.8</v>
      </c>
      <c r="E22" s="9">
        <f t="shared" si="3"/>
        <v>34.4</v>
      </c>
      <c r="F22" s="9">
        <f t="shared" si="3"/>
        <v>1064.0999999999999</v>
      </c>
      <c r="G22" s="9">
        <f t="shared" si="3"/>
        <v>280.7</v>
      </c>
      <c r="H22" s="9">
        <f t="shared" si="3"/>
        <v>573.70000000000005</v>
      </c>
      <c r="I22" s="9" t="s">
        <v>29</v>
      </c>
    </row>
  </sheetData>
  <mergeCells count="2">
    <mergeCell ref="A1:I1"/>
    <mergeCell ref="A22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H25" sqref="H25"/>
    </sheetView>
  </sheetViews>
  <sheetFormatPr defaultRowHeight="14.4" x14ac:dyDescent="0.25"/>
  <cols>
    <col min="1" max="1" width="24" customWidth="1"/>
    <col min="2" max="2" width="14" customWidth="1"/>
    <col min="3" max="3" width="22" customWidth="1"/>
    <col min="4" max="4" width="38" customWidth="1"/>
    <col min="5" max="5" width="20" customWidth="1"/>
    <col min="6" max="6" width="13" customWidth="1"/>
    <col min="7" max="7" width="15" customWidth="1"/>
    <col min="8" max="8" width="10" customWidth="1"/>
  </cols>
  <sheetData>
    <row r="1" spans="1:8" ht="20.399999999999999" x14ac:dyDescent="0.45">
      <c r="A1" s="32" t="s">
        <v>30</v>
      </c>
      <c r="B1" s="33"/>
      <c r="C1" s="33"/>
      <c r="D1" s="33"/>
      <c r="E1" s="33"/>
      <c r="F1" s="33"/>
      <c r="G1" s="33"/>
      <c r="H1" s="33"/>
    </row>
    <row r="2" spans="1:8" ht="16.2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</row>
    <row r="3" spans="1:8" ht="15" x14ac:dyDescent="0.25">
      <c r="A3" s="5" t="s">
        <v>39</v>
      </c>
      <c r="B3" s="7" t="s">
        <v>40</v>
      </c>
      <c r="C3" s="7" t="s">
        <v>41</v>
      </c>
      <c r="D3" s="7" t="s">
        <v>42</v>
      </c>
      <c r="E3" s="7" t="s">
        <v>43</v>
      </c>
      <c r="F3" s="7" t="str">
        <f>B3</f>
        <v>1.1x</v>
      </c>
      <c r="G3" s="7">
        <f>30/60</f>
        <v>0.5</v>
      </c>
      <c r="H3" s="7" t="s">
        <v>44</v>
      </c>
    </row>
    <row r="4" spans="1:8" ht="15" x14ac:dyDescent="0.25">
      <c r="A4" s="6" t="s">
        <v>45</v>
      </c>
      <c r="B4" s="8" t="s">
        <v>46</v>
      </c>
      <c r="C4" s="8" t="s">
        <v>47</v>
      </c>
      <c r="D4" s="8" t="s">
        <v>48</v>
      </c>
      <c r="E4" s="8" t="s">
        <v>43</v>
      </c>
      <c r="F4" s="8" t="str">
        <f>B4</f>
        <v>1.4x</v>
      </c>
      <c r="G4" s="8">
        <f>36/60</f>
        <v>0.6</v>
      </c>
      <c r="H4" s="8" t="s">
        <v>49</v>
      </c>
    </row>
    <row r="5" spans="1:8" ht="15" x14ac:dyDescent="0.25">
      <c r="A5" s="5" t="s">
        <v>50</v>
      </c>
      <c r="B5" s="7" t="s">
        <v>51</v>
      </c>
      <c r="C5" s="7" t="s">
        <v>52</v>
      </c>
      <c r="D5" s="7" t="s">
        <v>53</v>
      </c>
      <c r="E5" s="7" t="s">
        <v>43</v>
      </c>
      <c r="F5" s="7" t="str">
        <f>B5</f>
        <v>1.6x</v>
      </c>
      <c r="G5" s="7">
        <f>42/60</f>
        <v>0.7</v>
      </c>
      <c r="H5" s="7" t="s">
        <v>54</v>
      </c>
    </row>
    <row r="6" spans="1:8" ht="15" x14ac:dyDescent="0.25">
      <c r="A6" s="6" t="s">
        <v>55</v>
      </c>
      <c r="B6" s="8" t="s">
        <v>56</v>
      </c>
      <c r="C6" s="8" t="s">
        <v>57</v>
      </c>
      <c r="D6" s="8" t="s">
        <v>58</v>
      </c>
      <c r="E6" s="8" t="s">
        <v>43</v>
      </c>
      <c r="F6" s="8">
        <f>120</f>
        <v>120</v>
      </c>
      <c r="G6" s="8">
        <f>3</f>
        <v>3</v>
      </c>
      <c r="H6" s="8" t="s">
        <v>59</v>
      </c>
    </row>
    <row r="7" spans="1:8" ht="15" x14ac:dyDescent="0.25">
      <c r="A7" s="5" t="s">
        <v>60</v>
      </c>
      <c r="B7" s="7" t="s">
        <v>61</v>
      </c>
      <c r="C7" s="7" t="s">
        <v>62</v>
      </c>
      <c r="D7" s="7" t="s">
        <v>63</v>
      </c>
      <c r="E7" s="7" t="s">
        <v>43</v>
      </c>
      <c r="F7" s="7" t="e">
        <f>B7*1.2</f>
        <v>#VALUE!</v>
      </c>
      <c r="G7" s="7">
        <f>48/60</f>
        <v>0.8</v>
      </c>
      <c r="H7" s="7" t="s">
        <v>64</v>
      </c>
    </row>
    <row r="8" spans="1:8" ht="15" x14ac:dyDescent="0.25">
      <c r="A8" s="6" t="s">
        <v>65</v>
      </c>
      <c r="B8" s="8" t="s">
        <v>66</v>
      </c>
      <c r="C8" s="8" t="s">
        <v>67</v>
      </c>
      <c r="D8" s="8" t="s">
        <v>68</v>
      </c>
      <c r="E8" s="8" t="s">
        <v>43</v>
      </c>
      <c r="F8" s="8" t="str">
        <f>B8</f>
        <v>4.2x 累积</v>
      </c>
      <c r="G8" s="8">
        <f>44/60</f>
        <v>0.73333333333333328</v>
      </c>
      <c r="H8" s="8" t="s">
        <v>64</v>
      </c>
    </row>
    <row r="9" spans="1:8" ht="15" x14ac:dyDescent="0.25">
      <c r="A9" s="5" t="s">
        <v>69</v>
      </c>
      <c r="B9" s="7" t="s">
        <v>70</v>
      </c>
      <c r="C9" s="7" t="s">
        <v>71</v>
      </c>
      <c r="D9" s="7" t="s">
        <v>72</v>
      </c>
      <c r="E9" s="7" t="s">
        <v>73</v>
      </c>
      <c r="F9" s="7" t="str">
        <f>B9</f>
        <v>2.8x</v>
      </c>
      <c r="G9" s="7">
        <f>40/60</f>
        <v>0.66666666666666663</v>
      </c>
      <c r="H9" s="7" t="s">
        <v>59</v>
      </c>
    </row>
    <row r="10" spans="1:8" ht="15" x14ac:dyDescent="0.25">
      <c r="A10" s="6" t="s">
        <v>74</v>
      </c>
      <c r="B10" s="8" t="s">
        <v>75</v>
      </c>
      <c r="C10" s="8" t="s">
        <v>76</v>
      </c>
      <c r="D10" s="8" t="s">
        <v>77</v>
      </c>
      <c r="E10" s="8" t="s">
        <v>78</v>
      </c>
      <c r="F10" s="8" t="e">
        <f>B10*1.3</f>
        <v>#VALUE!</v>
      </c>
      <c r="G10" s="8">
        <f>95/60</f>
        <v>1.5833333333333333</v>
      </c>
      <c r="H10" s="8" t="s">
        <v>79</v>
      </c>
    </row>
    <row r="11" spans="1:8" ht="16.2" x14ac:dyDescent="0.25">
      <c r="A11" s="5" t="s">
        <v>80</v>
      </c>
      <c r="B11" s="7" t="s">
        <v>81</v>
      </c>
      <c r="C11" s="7" t="s">
        <v>82</v>
      </c>
      <c r="D11" s="7" t="s">
        <v>83</v>
      </c>
      <c r="E11" s="7" t="s">
        <v>84</v>
      </c>
      <c r="F11" s="10" t="e">
        <f>B11*1.8</f>
        <v>#VALUE!</v>
      </c>
      <c r="G11" s="7">
        <f>252/60</f>
        <v>4.2</v>
      </c>
      <c r="H11" s="7" t="s">
        <v>85</v>
      </c>
    </row>
    <row r="12" spans="1:8" ht="15" x14ac:dyDescent="0.25">
      <c r="A12" s="6" t="s">
        <v>86</v>
      </c>
      <c r="B12" s="8" t="s">
        <v>87</v>
      </c>
      <c r="C12" s="8" t="s">
        <v>88</v>
      </c>
      <c r="D12" s="8" t="s">
        <v>89</v>
      </c>
      <c r="E12" s="8" t="s">
        <v>43</v>
      </c>
      <c r="F12" s="8" t="s">
        <v>43</v>
      </c>
      <c r="G12" s="8">
        <f>158/60</f>
        <v>2.6333333333333333</v>
      </c>
      <c r="H12" s="8" t="s">
        <v>408</v>
      </c>
    </row>
    <row r="13" spans="1:8" ht="16.2" x14ac:dyDescent="0.25">
      <c r="A13" s="5" t="s">
        <v>90</v>
      </c>
      <c r="B13" s="7" t="s">
        <v>91</v>
      </c>
      <c r="C13" s="7" t="s">
        <v>92</v>
      </c>
      <c r="D13" s="7" t="s">
        <v>93</v>
      </c>
      <c r="E13" s="7" t="s">
        <v>43</v>
      </c>
      <c r="F13" s="2" t="s">
        <v>43</v>
      </c>
      <c r="G13" s="7" t="s">
        <v>94</v>
      </c>
      <c r="H13" s="7" t="s">
        <v>409</v>
      </c>
    </row>
    <row r="15" spans="1:8" ht="15" x14ac:dyDescent="0.3">
      <c r="A15" s="35" t="s">
        <v>95</v>
      </c>
      <c r="B15" s="33"/>
      <c r="C15" s="33"/>
      <c r="D15" s="33"/>
      <c r="E15" s="33"/>
      <c r="F15" s="33"/>
      <c r="G15" s="33"/>
      <c r="H15" s="33"/>
    </row>
  </sheetData>
  <mergeCells count="2">
    <mergeCell ref="A15:H15"/>
    <mergeCell ref="A1:H1"/>
  </mergeCells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I25" sqref="I25"/>
    </sheetView>
  </sheetViews>
  <sheetFormatPr defaultRowHeight="14.4" x14ac:dyDescent="0.25"/>
  <cols>
    <col min="1" max="1" width="18" customWidth="1"/>
    <col min="2" max="2" width="16" customWidth="1"/>
    <col min="3" max="3" width="22" customWidth="1"/>
    <col min="4" max="4" width="20" customWidth="1"/>
    <col min="5" max="6" width="24" customWidth="1"/>
    <col min="7" max="7" width="22" customWidth="1"/>
  </cols>
  <sheetData>
    <row r="1" spans="1:7" ht="20.399999999999999" x14ac:dyDescent="0.45">
      <c r="A1" s="32" t="s">
        <v>96</v>
      </c>
      <c r="B1" s="33"/>
      <c r="C1" s="33"/>
      <c r="D1" s="33"/>
      <c r="E1" s="33"/>
      <c r="F1" s="33"/>
      <c r="G1" s="33"/>
    </row>
    <row r="3" spans="1:7" ht="17.399999999999999" x14ac:dyDescent="0.4">
      <c r="A3" s="37" t="s">
        <v>97</v>
      </c>
      <c r="B3" s="33"/>
      <c r="C3" s="33"/>
      <c r="D3" s="33"/>
      <c r="E3" s="33"/>
      <c r="F3" s="33"/>
      <c r="G3" s="33"/>
    </row>
    <row r="4" spans="1:7" ht="16.2" x14ac:dyDescent="0.25">
      <c r="A4" s="1" t="s">
        <v>98</v>
      </c>
      <c r="B4" s="1" t="s">
        <v>99</v>
      </c>
      <c r="C4" s="1" t="s">
        <v>100</v>
      </c>
      <c r="D4" s="1" t="s">
        <v>101</v>
      </c>
      <c r="E4" s="1" t="s">
        <v>102</v>
      </c>
      <c r="F4" s="1" t="s">
        <v>103</v>
      </c>
      <c r="G4" s="1" t="s">
        <v>104</v>
      </c>
    </row>
    <row r="5" spans="1:7" ht="45" x14ac:dyDescent="0.25">
      <c r="A5" s="5" t="s">
        <v>105</v>
      </c>
      <c r="B5" s="7" t="s">
        <v>106</v>
      </c>
      <c r="C5" s="7" t="s">
        <v>107</v>
      </c>
      <c r="D5" s="7" t="s">
        <v>108</v>
      </c>
      <c r="E5" s="7" t="s">
        <v>109</v>
      </c>
      <c r="F5" s="7" t="s">
        <v>110</v>
      </c>
      <c r="G5" s="7" t="s">
        <v>111</v>
      </c>
    </row>
    <row r="6" spans="1:7" ht="45" x14ac:dyDescent="0.25">
      <c r="A6" s="6" t="s">
        <v>112</v>
      </c>
      <c r="B6" s="8" t="s">
        <v>113</v>
      </c>
      <c r="C6" s="8" t="s">
        <v>114</v>
      </c>
      <c r="D6" s="8" t="s">
        <v>115</v>
      </c>
      <c r="E6" s="8" t="s">
        <v>116</v>
      </c>
      <c r="F6" s="8" t="s">
        <v>117</v>
      </c>
      <c r="G6" s="8" t="s">
        <v>118</v>
      </c>
    </row>
    <row r="8" spans="1:7" ht="17.399999999999999" x14ac:dyDescent="0.4">
      <c r="A8" s="36" t="s">
        <v>119</v>
      </c>
      <c r="B8" s="33"/>
      <c r="C8" s="33"/>
      <c r="D8" s="33"/>
      <c r="E8" s="33"/>
      <c r="F8" s="33"/>
      <c r="G8" s="33"/>
    </row>
    <row r="9" spans="1:7" ht="16.2" x14ac:dyDescent="0.25">
      <c r="A9" s="1" t="s">
        <v>120</v>
      </c>
      <c r="B9" s="1" t="s">
        <v>121</v>
      </c>
      <c r="C9" s="1" t="s">
        <v>122</v>
      </c>
      <c r="D9" s="1" t="s">
        <v>123</v>
      </c>
      <c r="E9" s="1" t="s">
        <v>124</v>
      </c>
      <c r="F9" s="1" t="s">
        <v>125</v>
      </c>
      <c r="G9" s="1" t="s">
        <v>126</v>
      </c>
    </row>
    <row r="10" spans="1:7" ht="30" x14ac:dyDescent="0.25">
      <c r="A10" s="5" t="s">
        <v>127</v>
      </c>
      <c r="B10" s="7" t="s">
        <v>128</v>
      </c>
      <c r="C10" s="7" t="s">
        <v>129</v>
      </c>
      <c r="D10" s="7" t="s">
        <v>130</v>
      </c>
      <c r="E10" s="7" t="s">
        <v>43</v>
      </c>
      <c r="F10" s="7" t="s">
        <v>43</v>
      </c>
      <c r="G10" s="7" t="s">
        <v>131</v>
      </c>
    </row>
    <row r="11" spans="1:7" ht="15" x14ac:dyDescent="0.25">
      <c r="A11" s="6" t="s">
        <v>132</v>
      </c>
      <c r="B11" s="8" t="s">
        <v>133</v>
      </c>
      <c r="C11" s="8" t="s">
        <v>134</v>
      </c>
      <c r="D11" s="8" t="s">
        <v>135</v>
      </c>
      <c r="E11" s="8" t="s">
        <v>136</v>
      </c>
      <c r="F11" s="8" t="s">
        <v>137</v>
      </c>
      <c r="G11" s="8" t="s">
        <v>138</v>
      </c>
    </row>
    <row r="12" spans="1:7" ht="15" x14ac:dyDescent="0.25">
      <c r="A12" s="5" t="s">
        <v>139</v>
      </c>
      <c r="B12" s="7" t="s">
        <v>140</v>
      </c>
      <c r="C12" s="7" t="s">
        <v>141</v>
      </c>
      <c r="D12" s="7" t="s">
        <v>142</v>
      </c>
      <c r="E12" s="7" t="s">
        <v>143</v>
      </c>
      <c r="F12" s="7" t="s">
        <v>144</v>
      </c>
      <c r="G12" s="7" t="s">
        <v>145</v>
      </c>
    </row>
    <row r="13" spans="1:7" ht="31.2" x14ac:dyDescent="0.25">
      <c r="A13" s="11" t="s">
        <v>146</v>
      </c>
      <c r="B13" s="3" t="s">
        <v>147</v>
      </c>
      <c r="C13" s="3" t="s">
        <v>148</v>
      </c>
      <c r="D13" s="3" t="s">
        <v>149</v>
      </c>
      <c r="E13" s="3" t="s">
        <v>150</v>
      </c>
      <c r="F13" s="3" t="s">
        <v>151</v>
      </c>
      <c r="G13" s="3" t="s">
        <v>145</v>
      </c>
    </row>
    <row r="15" spans="1:7" ht="17.399999999999999" x14ac:dyDescent="0.4">
      <c r="A15" s="38" t="s">
        <v>152</v>
      </c>
      <c r="B15" s="33"/>
      <c r="C15" s="33"/>
      <c r="D15" s="33"/>
      <c r="E15" s="33"/>
      <c r="F15" s="33"/>
      <c r="G15" s="33"/>
    </row>
    <row r="16" spans="1:7" ht="16.2" x14ac:dyDescent="0.25">
      <c r="A16" s="1" t="s">
        <v>120</v>
      </c>
      <c r="B16" s="1" t="s">
        <v>121</v>
      </c>
      <c r="C16" s="1" t="s">
        <v>122</v>
      </c>
      <c r="D16" s="1" t="s">
        <v>123</v>
      </c>
      <c r="E16" s="1" t="s">
        <v>124</v>
      </c>
      <c r="F16" s="1" t="s">
        <v>125</v>
      </c>
      <c r="G16" s="1" t="s">
        <v>126</v>
      </c>
    </row>
    <row r="17" spans="1:7" ht="30" x14ac:dyDescent="0.25">
      <c r="A17" s="5" t="s">
        <v>127</v>
      </c>
      <c r="B17" s="7" t="s">
        <v>153</v>
      </c>
      <c r="C17" s="7" t="s">
        <v>154</v>
      </c>
      <c r="D17" s="7" t="s">
        <v>155</v>
      </c>
      <c r="E17" s="7" t="s">
        <v>43</v>
      </c>
      <c r="F17" s="7" t="s">
        <v>43</v>
      </c>
      <c r="G17" s="7" t="s">
        <v>156</v>
      </c>
    </row>
    <row r="18" spans="1:7" ht="30" x14ac:dyDescent="0.25">
      <c r="A18" s="6" t="s">
        <v>132</v>
      </c>
      <c r="B18" s="8" t="s">
        <v>157</v>
      </c>
      <c r="C18" s="8" t="s">
        <v>158</v>
      </c>
      <c r="D18" s="8" t="s">
        <v>159</v>
      </c>
      <c r="E18" s="8" t="s">
        <v>160</v>
      </c>
      <c r="F18" s="8" t="s">
        <v>161</v>
      </c>
      <c r="G18" s="8" t="s">
        <v>162</v>
      </c>
    </row>
    <row r="19" spans="1:7" ht="15" x14ac:dyDescent="0.25">
      <c r="A19" s="5" t="s">
        <v>139</v>
      </c>
      <c r="B19" s="7" t="s">
        <v>147</v>
      </c>
      <c r="C19" s="7" t="s">
        <v>163</v>
      </c>
      <c r="D19" s="7" t="s">
        <v>164</v>
      </c>
      <c r="E19" s="7" t="s">
        <v>165</v>
      </c>
      <c r="F19" s="7" t="s">
        <v>166</v>
      </c>
      <c r="G19" s="7" t="s">
        <v>145</v>
      </c>
    </row>
    <row r="20" spans="1:7" ht="31.2" x14ac:dyDescent="0.25">
      <c r="A20" s="12" t="s">
        <v>146</v>
      </c>
      <c r="B20" s="4" t="s">
        <v>167</v>
      </c>
      <c r="C20" s="4" t="s">
        <v>168</v>
      </c>
      <c r="D20" s="4" t="s">
        <v>169</v>
      </c>
      <c r="E20" s="4" t="s">
        <v>170</v>
      </c>
      <c r="F20" s="4" t="s">
        <v>171</v>
      </c>
      <c r="G20" s="4" t="s">
        <v>145</v>
      </c>
    </row>
  </sheetData>
  <mergeCells count="4">
    <mergeCell ref="A8:G8"/>
    <mergeCell ref="A3:G3"/>
    <mergeCell ref="A1:G1"/>
    <mergeCell ref="A15:G15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defaultRowHeight="14.4" x14ac:dyDescent="0.25"/>
  <cols>
    <col min="1" max="1" width="22" customWidth="1"/>
    <col min="2" max="2" width="10" customWidth="1"/>
    <col min="3" max="3" width="12" customWidth="1"/>
    <col min="4" max="4" width="36" customWidth="1"/>
    <col min="5" max="5" width="16" customWidth="1"/>
    <col min="6" max="7" width="12" customWidth="1"/>
    <col min="8" max="8" width="32" customWidth="1"/>
  </cols>
  <sheetData>
    <row r="1" spans="1:8" ht="20.399999999999999" x14ac:dyDescent="0.45">
      <c r="A1" s="32" t="s">
        <v>172</v>
      </c>
      <c r="B1" s="33"/>
      <c r="C1" s="33"/>
      <c r="D1" s="33"/>
      <c r="E1" s="33"/>
      <c r="F1" s="33"/>
      <c r="G1" s="33"/>
      <c r="H1" s="33"/>
    </row>
    <row r="3" spans="1:8" ht="17.399999999999999" x14ac:dyDescent="0.4">
      <c r="A3" s="39" t="s">
        <v>173</v>
      </c>
      <c r="B3" s="40"/>
      <c r="C3" s="40"/>
      <c r="D3" s="40"/>
      <c r="E3" s="40"/>
      <c r="F3" s="40"/>
      <c r="G3" s="40"/>
      <c r="H3" s="40"/>
    </row>
    <row r="4" spans="1:8" ht="16.2" x14ac:dyDescent="0.25">
      <c r="A4" s="1" t="s">
        <v>31</v>
      </c>
      <c r="B4" s="1" t="s">
        <v>174</v>
      </c>
      <c r="C4" s="1" t="s">
        <v>175</v>
      </c>
      <c r="D4" s="1" t="s">
        <v>176</v>
      </c>
      <c r="E4" s="1" t="s">
        <v>177</v>
      </c>
      <c r="F4" s="1" t="s">
        <v>178</v>
      </c>
      <c r="G4" s="1" t="s">
        <v>33</v>
      </c>
      <c r="H4" s="1" t="s">
        <v>179</v>
      </c>
    </row>
    <row r="5" spans="1:8" ht="15" x14ac:dyDescent="0.25">
      <c r="A5" s="5" t="s">
        <v>180</v>
      </c>
      <c r="B5" s="7">
        <v>180</v>
      </c>
      <c r="C5" s="7">
        <f t="shared" ref="C5:C16" si="0">B5/60</f>
        <v>3</v>
      </c>
      <c r="D5" s="7" t="s">
        <v>181</v>
      </c>
      <c r="E5" s="7" t="s">
        <v>43</v>
      </c>
      <c r="F5" s="7" t="s">
        <v>43</v>
      </c>
      <c r="G5" s="7" t="s">
        <v>182</v>
      </c>
      <c r="H5" s="7" t="s">
        <v>183</v>
      </c>
    </row>
    <row r="6" spans="1:8" ht="30" x14ac:dyDescent="0.25">
      <c r="A6" s="6" t="s">
        <v>184</v>
      </c>
      <c r="B6" s="8">
        <v>240</v>
      </c>
      <c r="C6" s="8">
        <f t="shared" si="0"/>
        <v>4</v>
      </c>
      <c r="D6" s="8" t="s">
        <v>185</v>
      </c>
      <c r="E6" s="8" t="s">
        <v>43</v>
      </c>
      <c r="F6" s="8" t="s">
        <v>43</v>
      </c>
      <c r="G6" s="8" t="s">
        <v>186</v>
      </c>
      <c r="H6" s="8" t="s">
        <v>187</v>
      </c>
    </row>
    <row r="7" spans="1:8" ht="15" x14ac:dyDescent="0.25">
      <c r="A7" s="5" t="s">
        <v>188</v>
      </c>
      <c r="B7" s="7">
        <v>36</v>
      </c>
      <c r="C7" s="7">
        <f t="shared" si="0"/>
        <v>0.6</v>
      </c>
      <c r="D7" s="7" t="s">
        <v>189</v>
      </c>
      <c r="E7" s="7">
        <v>2.8</v>
      </c>
      <c r="F7" s="7">
        <v>65</v>
      </c>
      <c r="G7" s="7" t="s">
        <v>190</v>
      </c>
      <c r="H7" s="7" t="s">
        <v>191</v>
      </c>
    </row>
    <row r="8" spans="1:8" ht="15" x14ac:dyDescent="0.25">
      <c r="A8" s="6" t="s">
        <v>192</v>
      </c>
      <c r="B8" s="8">
        <v>28</v>
      </c>
      <c r="C8" s="8">
        <f t="shared" si="0"/>
        <v>0.46666666666666667</v>
      </c>
      <c r="D8" s="8" t="s">
        <v>193</v>
      </c>
      <c r="E8" s="8">
        <v>5</v>
      </c>
      <c r="F8" s="8">
        <v>92</v>
      </c>
      <c r="G8" s="8" t="s">
        <v>194</v>
      </c>
      <c r="H8" s="8" t="s">
        <v>195</v>
      </c>
    </row>
    <row r="9" spans="1:8" ht="15" x14ac:dyDescent="0.25">
      <c r="A9" s="5" t="s">
        <v>196</v>
      </c>
      <c r="B9" s="7">
        <v>22</v>
      </c>
      <c r="C9" s="7">
        <f t="shared" si="0"/>
        <v>0.36666666666666664</v>
      </c>
      <c r="D9" s="7" t="s">
        <v>197</v>
      </c>
      <c r="E9" s="7">
        <v>7.2</v>
      </c>
      <c r="F9" s="7">
        <v>120</v>
      </c>
      <c r="G9" s="7" t="s">
        <v>198</v>
      </c>
      <c r="H9" s="7" t="s">
        <v>199</v>
      </c>
    </row>
    <row r="10" spans="1:8" ht="30" x14ac:dyDescent="0.25">
      <c r="A10" s="6" t="s">
        <v>200</v>
      </c>
      <c r="B10" s="8">
        <v>32</v>
      </c>
      <c r="C10" s="8">
        <f t="shared" si="0"/>
        <v>0.53333333333333333</v>
      </c>
      <c r="D10" s="8" t="s">
        <v>201</v>
      </c>
      <c r="E10" s="8" t="s">
        <v>202</v>
      </c>
      <c r="F10" s="8">
        <v>48</v>
      </c>
      <c r="G10" s="8" t="s">
        <v>203</v>
      </c>
      <c r="H10" s="8" t="s">
        <v>204</v>
      </c>
    </row>
    <row r="11" spans="1:8" ht="15" x14ac:dyDescent="0.25">
      <c r="A11" s="5" t="s">
        <v>205</v>
      </c>
      <c r="B11" s="7">
        <v>40</v>
      </c>
      <c r="C11" s="7">
        <f t="shared" si="0"/>
        <v>0.66666666666666663</v>
      </c>
      <c r="D11" s="7" t="s">
        <v>206</v>
      </c>
      <c r="E11" s="7">
        <v>1.8</v>
      </c>
      <c r="F11" s="7">
        <v>40</v>
      </c>
      <c r="G11" s="7" t="s">
        <v>64</v>
      </c>
      <c r="H11" s="7" t="s">
        <v>207</v>
      </c>
    </row>
    <row r="12" spans="1:8" ht="15" x14ac:dyDescent="0.25">
      <c r="A12" s="6" t="s">
        <v>21</v>
      </c>
      <c r="B12" s="8">
        <v>28</v>
      </c>
      <c r="C12" s="8">
        <f t="shared" si="0"/>
        <v>0.46666666666666667</v>
      </c>
      <c r="D12" s="8" t="s">
        <v>208</v>
      </c>
      <c r="E12" s="8" t="s">
        <v>43</v>
      </c>
      <c r="F12" s="8" t="s">
        <v>43</v>
      </c>
      <c r="G12" s="8" t="s">
        <v>209</v>
      </c>
      <c r="H12" s="8" t="s">
        <v>210</v>
      </c>
    </row>
    <row r="13" spans="1:8" ht="15" x14ac:dyDescent="0.25">
      <c r="A13" s="5" t="s">
        <v>211</v>
      </c>
      <c r="B13" s="7">
        <v>26</v>
      </c>
      <c r="C13" s="7">
        <f t="shared" si="0"/>
        <v>0.43333333333333335</v>
      </c>
      <c r="D13" s="7" t="s">
        <v>212</v>
      </c>
      <c r="E13" s="7" t="s">
        <v>43</v>
      </c>
      <c r="F13" s="7" t="s">
        <v>43</v>
      </c>
      <c r="G13" s="7" t="s">
        <v>213</v>
      </c>
      <c r="H13" s="7" t="s">
        <v>214</v>
      </c>
    </row>
    <row r="14" spans="1:8" ht="16.2" x14ac:dyDescent="0.25">
      <c r="A14" s="13" t="s">
        <v>215</v>
      </c>
      <c r="B14" s="8">
        <v>22</v>
      </c>
      <c r="C14" s="2">
        <f t="shared" si="0"/>
        <v>0.36666666666666664</v>
      </c>
      <c r="D14" s="8" t="s">
        <v>216</v>
      </c>
      <c r="E14" s="8" t="s">
        <v>43</v>
      </c>
      <c r="F14" s="8" t="s">
        <v>43</v>
      </c>
      <c r="G14" s="8" t="s">
        <v>217</v>
      </c>
      <c r="H14" s="8" t="s">
        <v>218</v>
      </c>
    </row>
    <row r="15" spans="1:8" ht="30" x14ac:dyDescent="0.25">
      <c r="A15" s="5" t="s">
        <v>22</v>
      </c>
      <c r="B15" s="7">
        <v>34</v>
      </c>
      <c r="C15" s="7">
        <f t="shared" si="0"/>
        <v>0.56666666666666665</v>
      </c>
      <c r="D15" s="7" t="s">
        <v>219</v>
      </c>
      <c r="E15" s="7" t="s">
        <v>43</v>
      </c>
      <c r="F15" s="7" t="s">
        <v>43</v>
      </c>
      <c r="G15" s="7" t="s">
        <v>220</v>
      </c>
      <c r="H15" s="7" t="s">
        <v>221</v>
      </c>
    </row>
    <row r="16" spans="1:8" ht="15" x14ac:dyDescent="0.25">
      <c r="A16" s="6" t="s">
        <v>222</v>
      </c>
      <c r="B16" s="8">
        <v>37</v>
      </c>
      <c r="C16" s="8">
        <f t="shared" si="0"/>
        <v>0.6166666666666667</v>
      </c>
      <c r="D16" s="8" t="s">
        <v>223</v>
      </c>
      <c r="E16" s="8" t="s">
        <v>43</v>
      </c>
      <c r="F16" s="8" t="s">
        <v>43</v>
      </c>
      <c r="G16" s="8" t="s">
        <v>224</v>
      </c>
      <c r="H16" s="8" t="s">
        <v>225</v>
      </c>
    </row>
    <row r="19" spans="1:8" ht="17.399999999999999" x14ac:dyDescent="0.4">
      <c r="A19" s="41" t="s">
        <v>226</v>
      </c>
      <c r="B19" s="42"/>
      <c r="C19" s="42"/>
      <c r="D19" s="42"/>
      <c r="E19" s="42"/>
      <c r="F19" s="42"/>
      <c r="G19" s="42"/>
      <c r="H19" s="42"/>
    </row>
    <row r="20" spans="1:8" ht="16.2" x14ac:dyDescent="0.25">
      <c r="A20" s="1" t="s">
        <v>227</v>
      </c>
      <c r="B20" s="1" t="s">
        <v>1</v>
      </c>
      <c r="C20" s="1" t="s">
        <v>228</v>
      </c>
      <c r="D20" s="1" t="s">
        <v>229</v>
      </c>
      <c r="E20" s="1" t="s">
        <v>230</v>
      </c>
      <c r="F20" s="1" t="s">
        <v>231</v>
      </c>
      <c r="G20" s="1" t="s">
        <v>232</v>
      </c>
      <c r="H20" s="1" t="s">
        <v>233</v>
      </c>
    </row>
    <row r="21" spans="1:8" ht="15" x14ac:dyDescent="0.25">
      <c r="A21" s="5" t="s">
        <v>234</v>
      </c>
      <c r="B21" s="7">
        <v>18</v>
      </c>
      <c r="C21" s="7">
        <v>2</v>
      </c>
      <c r="D21" s="7" t="s">
        <v>235</v>
      </c>
      <c r="E21" s="7" t="s">
        <v>43</v>
      </c>
      <c r="F21" s="7" t="s">
        <v>236</v>
      </c>
      <c r="G21" s="7" t="s">
        <v>237</v>
      </c>
      <c r="H21" s="7" t="s">
        <v>238</v>
      </c>
    </row>
    <row r="22" spans="1:8" ht="15" x14ac:dyDescent="0.25">
      <c r="A22" s="6" t="s">
        <v>239</v>
      </c>
      <c r="B22" s="8">
        <v>28</v>
      </c>
      <c r="C22" s="8">
        <v>3</v>
      </c>
      <c r="D22" s="8" t="s">
        <v>240</v>
      </c>
      <c r="E22" s="8" t="s">
        <v>43</v>
      </c>
      <c r="F22" s="8" t="s">
        <v>236</v>
      </c>
      <c r="G22" s="8" t="s">
        <v>241</v>
      </c>
      <c r="H22" s="8" t="s">
        <v>242</v>
      </c>
    </row>
    <row r="23" spans="1:8" ht="15" x14ac:dyDescent="0.25">
      <c r="A23" s="5" t="s">
        <v>243</v>
      </c>
      <c r="B23" s="7">
        <v>42</v>
      </c>
      <c r="C23" s="7">
        <v>4</v>
      </c>
      <c r="D23" s="7" t="s">
        <v>244</v>
      </c>
      <c r="E23" s="7" t="s">
        <v>43</v>
      </c>
      <c r="F23" s="7" t="s">
        <v>245</v>
      </c>
      <c r="G23" s="7" t="s">
        <v>241</v>
      </c>
      <c r="H23" s="7" t="s">
        <v>246</v>
      </c>
    </row>
    <row r="24" spans="1:8" ht="15" x14ac:dyDescent="0.25">
      <c r="A24" s="6" t="s">
        <v>247</v>
      </c>
      <c r="B24" s="8">
        <v>120</v>
      </c>
      <c r="C24" s="8">
        <v>8</v>
      </c>
      <c r="D24" s="8" t="s">
        <v>248</v>
      </c>
      <c r="E24" s="8" t="s">
        <v>43</v>
      </c>
      <c r="F24" s="8" t="s">
        <v>249</v>
      </c>
      <c r="G24" s="8" t="s">
        <v>43</v>
      </c>
      <c r="H24" s="8" t="s">
        <v>250</v>
      </c>
    </row>
    <row r="25" spans="1:8" ht="15" x14ac:dyDescent="0.25">
      <c r="A25" s="5" t="s">
        <v>26</v>
      </c>
      <c r="B25" s="7">
        <v>36</v>
      </c>
      <c r="C25" s="7" t="s">
        <v>43</v>
      </c>
      <c r="D25" s="7" t="s">
        <v>251</v>
      </c>
      <c r="E25" s="7" t="s">
        <v>252</v>
      </c>
      <c r="F25" s="7" t="s">
        <v>253</v>
      </c>
      <c r="G25" s="7" t="s">
        <v>43</v>
      </c>
      <c r="H25" s="7" t="s">
        <v>254</v>
      </c>
    </row>
    <row r="26" spans="1:8" ht="30" x14ac:dyDescent="0.25">
      <c r="A26" s="6" t="s">
        <v>255</v>
      </c>
      <c r="B26" s="8">
        <v>180</v>
      </c>
      <c r="C26" s="8">
        <v>10</v>
      </c>
      <c r="D26" s="8" t="s">
        <v>256</v>
      </c>
      <c r="E26" s="8" t="s">
        <v>43</v>
      </c>
      <c r="F26" s="8" t="s">
        <v>43</v>
      </c>
      <c r="G26" s="8" t="s">
        <v>43</v>
      </c>
      <c r="H26" s="8" t="s">
        <v>257</v>
      </c>
    </row>
  </sheetData>
  <mergeCells count="3">
    <mergeCell ref="A3:H3"/>
    <mergeCell ref="A19:H19"/>
    <mergeCell ref="A1:H1"/>
  </mergeCells>
  <phoneticPr fontId="15" type="noConversion"/>
  <pageMargins left="0.75" right="0.75" top="1" bottom="1" header="0.5" footer="0.5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H1"/>
    </sheetView>
  </sheetViews>
  <sheetFormatPr defaultRowHeight="14.4" x14ac:dyDescent="0.25"/>
  <cols>
    <col min="1" max="1" width="26" customWidth="1"/>
    <col min="2" max="2" width="22" customWidth="1"/>
    <col min="3" max="3" width="10" customWidth="1"/>
    <col min="4" max="4" width="14" customWidth="1"/>
    <col min="5" max="5" width="10" customWidth="1"/>
    <col min="6" max="6" width="16" customWidth="1"/>
    <col min="7" max="7" width="20" customWidth="1"/>
    <col min="8" max="8" width="38" customWidth="1"/>
  </cols>
  <sheetData>
    <row r="1" spans="1:8" ht="20.399999999999999" x14ac:dyDescent="0.45">
      <c r="A1" s="32" t="s">
        <v>258</v>
      </c>
      <c r="B1" s="33"/>
      <c r="C1" s="33"/>
      <c r="D1" s="33"/>
      <c r="E1" s="33"/>
      <c r="F1" s="33"/>
      <c r="G1" s="33"/>
      <c r="H1" s="33"/>
    </row>
    <row r="2" spans="1:8" ht="16.2" x14ac:dyDescent="0.25">
      <c r="A2" s="1" t="s">
        <v>259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8" ht="15" x14ac:dyDescent="0.25">
      <c r="A3" s="5" t="s">
        <v>267</v>
      </c>
      <c r="B3" s="7" t="s">
        <v>268</v>
      </c>
      <c r="C3" s="14"/>
      <c r="D3" s="7" t="s">
        <v>269</v>
      </c>
      <c r="E3" s="15"/>
      <c r="F3" s="7" t="s">
        <v>270</v>
      </c>
      <c r="G3" s="7" t="s">
        <v>271</v>
      </c>
      <c r="H3" s="7" t="s">
        <v>272</v>
      </c>
    </row>
    <row r="4" spans="1:8" ht="30" x14ac:dyDescent="0.25">
      <c r="A4" s="6" t="s">
        <v>273</v>
      </c>
      <c r="B4" s="8" t="s">
        <v>274</v>
      </c>
      <c r="C4" s="16"/>
      <c r="D4" s="8" t="s">
        <v>275</v>
      </c>
      <c r="E4" s="17"/>
      <c r="F4" s="8" t="s">
        <v>276</v>
      </c>
      <c r="G4" s="8" t="s">
        <v>277</v>
      </c>
      <c r="H4" s="8" t="s">
        <v>278</v>
      </c>
    </row>
    <row r="5" spans="1:8" ht="30" x14ac:dyDescent="0.25">
      <c r="A5" s="5" t="s">
        <v>279</v>
      </c>
      <c r="B5" s="7" t="s">
        <v>280</v>
      </c>
      <c r="C5" s="18"/>
      <c r="D5" s="7" t="s">
        <v>281</v>
      </c>
      <c r="E5" s="19"/>
      <c r="F5" s="7" t="s">
        <v>282</v>
      </c>
      <c r="G5" s="7" t="s">
        <v>283</v>
      </c>
      <c r="H5" s="7" t="s">
        <v>284</v>
      </c>
    </row>
    <row r="6" spans="1:8" ht="15" x14ac:dyDescent="0.25">
      <c r="A6" s="6" t="s">
        <v>285</v>
      </c>
      <c r="B6" s="8" t="s">
        <v>286</v>
      </c>
      <c r="C6" s="20"/>
      <c r="D6" s="8" t="s">
        <v>287</v>
      </c>
      <c r="E6" s="21"/>
      <c r="F6" s="8" t="s">
        <v>288</v>
      </c>
      <c r="G6" s="8" t="s">
        <v>289</v>
      </c>
      <c r="H6" s="8" t="s">
        <v>290</v>
      </c>
    </row>
    <row r="7" spans="1:8" ht="15" x14ac:dyDescent="0.25">
      <c r="A7" s="22" t="s">
        <v>291</v>
      </c>
      <c r="B7" s="23" t="s">
        <v>292</v>
      </c>
      <c r="C7" s="23"/>
      <c r="D7" s="23" t="s">
        <v>293</v>
      </c>
      <c r="E7" s="23"/>
      <c r="F7" s="23" t="s">
        <v>294</v>
      </c>
      <c r="G7" s="23" t="s">
        <v>295</v>
      </c>
      <c r="H7" s="23" t="s">
        <v>296</v>
      </c>
    </row>
    <row r="8" spans="1:8" ht="30" x14ac:dyDescent="0.25">
      <c r="A8" s="6" t="s">
        <v>297</v>
      </c>
      <c r="B8" s="8" t="s">
        <v>298</v>
      </c>
      <c r="C8" s="24"/>
      <c r="D8" s="8" t="s">
        <v>299</v>
      </c>
      <c r="E8" s="25"/>
      <c r="F8" s="8" t="s">
        <v>300</v>
      </c>
      <c r="G8" s="8" t="s">
        <v>301</v>
      </c>
      <c r="H8" s="8" t="s">
        <v>302</v>
      </c>
    </row>
    <row r="9" spans="1:8" ht="30" x14ac:dyDescent="0.25">
      <c r="A9" s="5" t="s">
        <v>303</v>
      </c>
      <c r="B9" s="7" t="s">
        <v>304</v>
      </c>
      <c r="C9" s="26"/>
      <c r="D9" s="7" t="s">
        <v>305</v>
      </c>
      <c r="E9" s="27"/>
      <c r="F9" s="7" t="s">
        <v>306</v>
      </c>
      <c r="G9" s="7" t="s">
        <v>307</v>
      </c>
      <c r="H9" s="7" t="s">
        <v>308</v>
      </c>
    </row>
    <row r="10" spans="1:8" ht="15" x14ac:dyDescent="0.25">
      <c r="A10" s="28" t="s">
        <v>309</v>
      </c>
      <c r="B10" s="29" t="s">
        <v>310</v>
      </c>
      <c r="C10" s="29"/>
      <c r="D10" s="29" t="s">
        <v>311</v>
      </c>
      <c r="E10" s="29"/>
      <c r="F10" s="29" t="s">
        <v>306</v>
      </c>
      <c r="G10" s="29" t="s">
        <v>312</v>
      </c>
      <c r="H10" s="29" t="s">
        <v>313</v>
      </c>
    </row>
    <row r="11" spans="1:8" ht="45" x14ac:dyDescent="0.25">
      <c r="A11" s="22" t="s">
        <v>314</v>
      </c>
      <c r="B11" s="23" t="s">
        <v>293</v>
      </c>
      <c r="C11" s="23"/>
      <c r="D11" s="23" t="s">
        <v>292</v>
      </c>
      <c r="E11" s="23"/>
      <c r="F11" s="23" t="s">
        <v>315</v>
      </c>
      <c r="G11" s="23" t="s">
        <v>316</v>
      </c>
      <c r="H11" s="23" t="s">
        <v>317</v>
      </c>
    </row>
    <row r="12" spans="1:8" ht="30" x14ac:dyDescent="0.25">
      <c r="A12" s="6" t="s">
        <v>318</v>
      </c>
      <c r="B12" s="8" t="s">
        <v>319</v>
      </c>
      <c r="C12" s="30"/>
      <c r="D12" s="8" t="s">
        <v>320</v>
      </c>
      <c r="E12" s="31"/>
      <c r="F12" s="8" t="s">
        <v>321</v>
      </c>
      <c r="G12" s="8" t="s">
        <v>322</v>
      </c>
      <c r="H12" s="8" t="s">
        <v>323</v>
      </c>
    </row>
  </sheetData>
  <mergeCells count="1">
    <mergeCell ref="A1:H1"/>
  </mergeCells>
  <phoneticPr fontId="1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M18" sqref="M18"/>
    </sheetView>
  </sheetViews>
  <sheetFormatPr defaultRowHeight="14.4" x14ac:dyDescent="0.25"/>
  <cols>
    <col min="1" max="1" width="22" customWidth="1"/>
    <col min="2" max="2" width="26" customWidth="1"/>
    <col min="3" max="3" width="20" customWidth="1"/>
    <col min="4" max="4" width="30" customWidth="1"/>
    <col min="5" max="5" width="22" customWidth="1"/>
    <col min="6" max="6" width="12" customWidth="1"/>
    <col min="7" max="7" width="32" customWidth="1"/>
  </cols>
  <sheetData>
    <row r="1" spans="1:7" ht="20.399999999999999" x14ac:dyDescent="0.45">
      <c r="A1" s="32" t="s">
        <v>324</v>
      </c>
      <c r="B1" s="33"/>
      <c r="C1" s="33"/>
      <c r="D1" s="33"/>
      <c r="E1" s="33"/>
      <c r="F1" s="33"/>
      <c r="G1" s="33"/>
    </row>
    <row r="3" spans="1:7" ht="17.399999999999999" x14ac:dyDescent="0.4">
      <c r="A3" s="39" t="s">
        <v>325</v>
      </c>
      <c r="B3" s="40"/>
      <c r="C3" s="40"/>
      <c r="D3" s="40"/>
      <c r="E3" s="40"/>
      <c r="F3" s="40"/>
      <c r="G3" s="40"/>
    </row>
    <row r="4" spans="1:7" ht="16.2" x14ac:dyDescent="0.25">
      <c r="A4" s="1" t="s">
        <v>326</v>
      </c>
      <c r="B4" s="1" t="s">
        <v>327</v>
      </c>
      <c r="C4" s="1" t="s">
        <v>328</v>
      </c>
      <c r="D4" s="1" t="s">
        <v>329</v>
      </c>
      <c r="E4" s="1" t="s">
        <v>330</v>
      </c>
      <c r="F4" s="1" t="s">
        <v>331</v>
      </c>
      <c r="G4" s="1" t="s">
        <v>332</v>
      </c>
    </row>
    <row r="5" spans="1:7" ht="30" x14ac:dyDescent="0.25">
      <c r="A5" s="5" t="s">
        <v>39</v>
      </c>
      <c r="B5" s="7" t="s">
        <v>333</v>
      </c>
      <c r="C5" s="7" t="s">
        <v>334</v>
      </c>
      <c r="D5" s="7" t="s">
        <v>335</v>
      </c>
      <c r="E5" s="7" t="s">
        <v>336</v>
      </c>
      <c r="F5" s="7" t="s">
        <v>337</v>
      </c>
      <c r="G5" s="7" t="s">
        <v>338</v>
      </c>
    </row>
    <row r="6" spans="1:7" ht="30" x14ac:dyDescent="0.25">
      <c r="A6" s="6" t="s">
        <v>339</v>
      </c>
      <c r="B6" s="8" t="s">
        <v>340</v>
      </c>
      <c r="C6" s="8" t="s">
        <v>341</v>
      </c>
      <c r="D6" s="8" t="s">
        <v>342</v>
      </c>
      <c r="E6" s="8" t="s">
        <v>343</v>
      </c>
      <c r="F6" s="8" t="s">
        <v>344</v>
      </c>
      <c r="G6" s="8" t="s">
        <v>345</v>
      </c>
    </row>
    <row r="7" spans="1:7" ht="30" x14ac:dyDescent="0.25">
      <c r="A7" s="5" t="s">
        <v>346</v>
      </c>
      <c r="B7" s="7" t="s">
        <v>347</v>
      </c>
      <c r="C7" s="7" t="s">
        <v>348</v>
      </c>
      <c r="D7" s="7" t="s">
        <v>349</v>
      </c>
      <c r="E7" s="7" t="s">
        <v>350</v>
      </c>
      <c r="F7" s="7" t="s">
        <v>351</v>
      </c>
      <c r="G7" s="7" t="s">
        <v>352</v>
      </c>
    </row>
    <row r="8" spans="1:7" ht="15" x14ac:dyDescent="0.25">
      <c r="A8" s="6" t="s">
        <v>353</v>
      </c>
      <c r="B8" s="8" t="s">
        <v>354</v>
      </c>
      <c r="C8" s="8" t="s">
        <v>355</v>
      </c>
      <c r="D8" s="8" t="s">
        <v>356</v>
      </c>
      <c r="E8" s="8" t="s">
        <v>357</v>
      </c>
      <c r="F8" s="8" t="s">
        <v>337</v>
      </c>
      <c r="G8" s="8" t="s">
        <v>358</v>
      </c>
    </row>
    <row r="9" spans="1:7" ht="30" x14ac:dyDescent="0.25">
      <c r="A9" s="5" t="s">
        <v>359</v>
      </c>
      <c r="B9" s="7" t="s">
        <v>360</v>
      </c>
      <c r="C9" s="7" t="s">
        <v>361</v>
      </c>
      <c r="D9" s="7" t="s">
        <v>362</v>
      </c>
      <c r="E9" s="7" t="s">
        <v>363</v>
      </c>
      <c r="F9" s="7" t="s">
        <v>364</v>
      </c>
      <c r="G9" s="7" t="s">
        <v>410</v>
      </c>
    </row>
    <row r="10" spans="1:7" ht="30" x14ac:dyDescent="0.25">
      <c r="A10" s="6" t="s">
        <v>365</v>
      </c>
      <c r="B10" s="8" t="s">
        <v>366</v>
      </c>
      <c r="C10" s="8" t="s">
        <v>367</v>
      </c>
      <c r="D10" s="8" t="s">
        <v>368</v>
      </c>
      <c r="E10" s="8" t="s">
        <v>369</v>
      </c>
      <c r="F10" s="8" t="s">
        <v>370</v>
      </c>
      <c r="G10" s="8" t="s">
        <v>371</v>
      </c>
    </row>
    <row r="11" spans="1:7" ht="30" x14ac:dyDescent="0.25">
      <c r="A11" s="5" t="s">
        <v>372</v>
      </c>
      <c r="B11" s="7" t="s">
        <v>373</v>
      </c>
      <c r="C11" s="7" t="s">
        <v>374</v>
      </c>
      <c r="D11" s="7" t="s">
        <v>375</v>
      </c>
      <c r="E11" s="7" t="s">
        <v>376</v>
      </c>
      <c r="F11" s="7" t="s">
        <v>377</v>
      </c>
      <c r="G11" s="7" t="s">
        <v>378</v>
      </c>
    </row>
    <row r="14" spans="1:7" ht="17.399999999999999" x14ac:dyDescent="0.4">
      <c r="A14" s="43" t="s">
        <v>379</v>
      </c>
      <c r="B14" s="44"/>
      <c r="C14" s="44"/>
      <c r="D14" s="44"/>
      <c r="E14" s="44"/>
      <c r="F14" s="44"/>
      <c r="G14" s="44"/>
    </row>
    <row r="15" spans="1:7" ht="16.2" x14ac:dyDescent="0.25">
      <c r="A15" s="1" t="s">
        <v>380</v>
      </c>
      <c r="B15" s="1" t="s">
        <v>381</v>
      </c>
      <c r="C15" s="1" t="s">
        <v>382</v>
      </c>
      <c r="D15" s="1" t="s">
        <v>383</v>
      </c>
      <c r="E15" s="1" t="s">
        <v>384</v>
      </c>
      <c r="F15" s="1" t="s">
        <v>233</v>
      </c>
      <c r="G15" s="1" t="s">
        <v>385</v>
      </c>
    </row>
    <row r="16" spans="1:7" ht="45" x14ac:dyDescent="0.25">
      <c r="A16" s="5" t="s">
        <v>386</v>
      </c>
      <c r="B16" s="7">
        <v>3</v>
      </c>
      <c r="C16" s="7" t="s">
        <v>387</v>
      </c>
      <c r="D16" s="7" t="s">
        <v>388</v>
      </c>
      <c r="E16" s="7" t="s">
        <v>389</v>
      </c>
      <c r="F16" s="7" t="s">
        <v>390</v>
      </c>
      <c r="G16" s="7" t="s">
        <v>391</v>
      </c>
    </row>
    <row r="17" spans="1:7" ht="30" x14ac:dyDescent="0.25">
      <c r="A17" s="6" t="s">
        <v>392</v>
      </c>
      <c r="B17" s="8">
        <v>6</v>
      </c>
      <c r="C17" s="8" t="s">
        <v>393</v>
      </c>
      <c r="D17" s="8" t="s">
        <v>388</v>
      </c>
      <c r="E17" s="8" t="s">
        <v>394</v>
      </c>
      <c r="F17" s="8" t="s">
        <v>395</v>
      </c>
      <c r="G17" s="8" t="s">
        <v>391</v>
      </c>
    </row>
    <row r="18" spans="1:7" ht="45" x14ac:dyDescent="0.25">
      <c r="A18" s="5" t="s">
        <v>396</v>
      </c>
      <c r="B18" s="7">
        <v>12</v>
      </c>
      <c r="C18" s="7" t="s">
        <v>397</v>
      </c>
      <c r="D18" s="7" t="s">
        <v>398</v>
      </c>
      <c r="E18" s="7" t="s">
        <v>399</v>
      </c>
      <c r="F18" s="7" t="s">
        <v>400</v>
      </c>
      <c r="G18" s="7" t="s">
        <v>391</v>
      </c>
    </row>
    <row r="19" spans="1:7" ht="60" x14ac:dyDescent="0.25">
      <c r="A19" s="6" t="s">
        <v>401</v>
      </c>
      <c r="B19" s="8">
        <v>18</v>
      </c>
      <c r="C19" s="8" t="s">
        <v>402</v>
      </c>
      <c r="D19" s="8" t="s">
        <v>403</v>
      </c>
      <c r="E19" s="8" t="s">
        <v>372</v>
      </c>
      <c r="F19" s="8" t="s">
        <v>404</v>
      </c>
      <c r="G19" s="8" t="s">
        <v>405</v>
      </c>
    </row>
    <row r="21" spans="1:7" ht="15" x14ac:dyDescent="0.3">
      <c r="A21" s="35" t="s">
        <v>406</v>
      </c>
      <c r="B21" s="33"/>
      <c r="C21" s="33"/>
      <c r="D21" s="33"/>
      <c r="E21" s="33"/>
      <c r="F21" s="33"/>
      <c r="G21" s="33"/>
    </row>
  </sheetData>
  <mergeCells count="4">
    <mergeCell ref="A21:G21"/>
    <mergeCell ref="A3:G3"/>
    <mergeCell ref="A14:G14"/>
    <mergeCell ref="A1:G1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01 帧数总表</vt:lpstr>
      <vt:lpstr>02 伤害与DPS</vt:lpstr>
      <vt:lpstr>03 形态与Buff</vt:lpstr>
      <vt:lpstr>04 基础动作组</vt:lpstr>
      <vt:lpstr>05 特效色板</vt:lpstr>
      <vt:lpstr>06 音效与震屏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drift yuki</cp:lastModifiedBy>
  <dcterms:created xsi:type="dcterms:W3CDTF">2026-07-31T09:22:36Z</dcterms:created>
  <dcterms:modified xsi:type="dcterms:W3CDTF">2026-07-31T09:37:19Z</dcterms:modified>
</cp:coreProperties>
</file>