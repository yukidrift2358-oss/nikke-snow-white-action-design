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0ff733c95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82a6109746144589"/>
    <x:sheet xmlns:r="http://schemas.openxmlformats.org/officeDocument/2006/relationships" name="动作" sheetId="2" r:id="Rbf51327cc368477a"/>
    <x:sheet xmlns:r="http://schemas.openxmlformats.org/officeDocument/2006/relationships" name="试算" sheetId="3" r:id="R20857952a08e4730"/>
    <x:sheet xmlns:r="http://schemas.openxmlformats.org/officeDocument/2006/relationships" name="敌人" sheetId="4" r:id="R23580dca71bf437d"/>
    <x:sheet xmlns:r="http://schemas.openxmlformats.org/officeDocument/2006/relationships" name="用例" sheetId="5" r:id="R7bc997bad090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1"/>
      <x:color rgb="FF24293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2931"/>
      </x:patternFill>
    </x:fill>
    <x:fill>
      <x:patternFill patternType="solid">
        <x:fgColor rgb="FFFFF4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63225"/>
      </x:font>
      <x:fill>
        <x:patternFill patternType="solid">
          <x:bgColor rgb="FFFC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699d1666240f7" /><Relationship Type="http://schemas.openxmlformats.org/officeDocument/2006/relationships/theme" Target="/xl/theme/theme1.xml" Id="R7e60acd951c44a88" /><Relationship Type="http://schemas.openxmlformats.org/officeDocument/2006/relationships/sharedStrings" Target="/xl/sharedStrings.xml" Id="R04204a2f1a144525" /><Relationship Type="http://schemas.openxmlformats.org/officeDocument/2006/relationships/worksheet" Target="/xl/worksheets/sheet1.xml" Id="R82a6109746144589" /><Relationship Type="http://schemas.openxmlformats.org/officeDocument/2006/relationships/worksheet" Target="/xl/worksheets/sheet2.xml" Id="Rbf51327cc368477a" /><Relationship Type="http://schemas.openxmlformats.org/officeDocument/2006/relationships/worksheet" Target="/xl/worksheets/sheet3.xml" Id="R20857952a08e4730" /><Relationship Type="http://schemas.openxmlformats.org/officeDocument/2006/relationships/worksheet" Target="/xl/worksheets/sheet4.xml" Id="R23580dca71bf437d" /><Relationship Type="http://schemas.openxmlformats.org/officeDocument/2006/relationships/worksheet" Target="/xl/worksheets/sheet5.xml" Id="R7bc997bad09042e6" /></Relationships>
</file>

<file path=xl/tables/table1.xml><?xml version="1.0" encoding="utf-8"?>
<x:table xmlns:x="http://schemas.openxmlformats.org/spreadsheetml/2006/main" id="1" name="TableParams" displayName="TableParams" ref="A1:G38" headerRowCount="1" totalsRowCount="0" totalsRowShown="0">
  <x:tableColumns count="7">
    <x:tableColumn id="1" name="参数ID"/>
    <x:tableColumn id="2" name="名称"/>
    <x:tableColumn id="3" name="初值"/>
    <x:tableColumn id="4" name="单位"/>
    <x:tableColumn id="5" name="约束"/>
    <x:tableColumn id="6" name="章节"/>
    <x:tableColumn id="7" name="选择原因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leActions" displayName="TableActions" ref="A1:I11" headerRowCount="1" totalsRowCount="0" totalsRowShown="0">
  <x:tableColumns count="9">
    <x:tableColumn id="1" name="动作ID"/>
    <x:tableColumn id="2" name="名称"/>
    <x:tableColumn id="3" name="总长 F"/>
    <x:tableColumn id="4" name="效果起 F"/>
    <x:tableColumn id="5" name="效果止 F"/>
    <x:tableColumn id="6" name="可闪避区间 F"/>
    <x:tableColumn id="7" name="冷却 F"/>
    <x:tableColumn id="8" name="资源"/>
    <x:tableColumn id="9" name="回到状态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bleEnemies" displayName="TableEnemies" ref="A1:J4" headerRowCount="1" totalsRowCount="0" totalsRowShown="0">
  <x:tableColumns count="10">
    <x:tableColumn id="1" name="敌人ID"/>
    <x:tableColumn id="2" name="名称"/>
    <x:tableColumn id="3" name="生命"/>
    <x:tableColumn id="4" name="前摇 F"/>
    <x:tableColumn id="5" name="判定起 F"/>
    <x:tableColumn id="6" name="判定止 F"/>
    <x:tableColumn id="7" name="后摇 F"/>
    <x:tableColumn id="8" name="伤害"/>
    <x:tableColumn id="9" name="应对"/>
    <x:tableColumn id="10" name="特殊规则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ableCases" displayName="TableCases" ref="A1:I35" headerRowCount="1" totalsRowCount="0" totalsRowShown="0">
  <x:tableColumns count="9">
    <x:tableColumn id="1" name="用例ID"/>
    <x:tableColumn id="2" name="检查项"/>
    <x:tableColumn id="3" name="前置条件"/>
    <x:tableColumn id="4" name="操作"/>
    <x:tableColumn id="5" name="预期结果"/>
    <x:tableColumn id="6" name="执行状态"/>
    <x:tableColumn id="7" name="构建版本"/>
    <x:tableColumn id="8" name="实际结果"/>
    <x:tableColumn id="9" name="证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cde02a4d684e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0ecfbadf6a40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9203d7635b41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749e19bd1f4a2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12" hidden="0" customWidth="1"/>
    <x:col min="4" max="4" width="12" hidden="0" customWidth="1"/>
    <x:col min="5" max="5" width="25" hidden="0" customWidth="1"/>
    <x:col min="6" max="6" width="10" hidden="0" customWidth="1"/>
    <x:col min="7" max="7" width="28" hidden="0" customWidth="1"/>
    <x:col min="9" max="9" width="125" hidden="0" customWidth="1"/>
  </x:cols>
  <x:sheetData>
    <x:row r="1" ht="32" customHeight="1">
      <x:c r="A1" s="5" t="str">
        <x:v>参数ID</x:v>
      </x:c>
      <x:c r="B1" s="5" t="str">
        <x:v>名称</x:v>
      </x:c>
      <x:c r="C1" s="5" t="str">
        <x:v>初值</x:v>
      </x:c>
      <x:c r="D1" s="5" t="str">
        <x:v>单位</x:v>
      </x:c>
      <x:c r="E1" s="5" t="str">
        <x:v>约束</x:v>
      </x:c>
      <x:c r="F1" s="5" t="str">
        <x:v>章节</x:v>
      </x:c>
      <x:c r="G1" s="5" t="str">
        <x:v>选择原因</x:v>
      </x:c>
      <x:c r="I1" t="str">
        <x:v>使用说明</x:v>
      </x:c>
    </x:row>
    <x:row r="2" ht="32" customHeight="1">
      <x:c r="A2" s="2" t="str">
        <x:v>logic_hz</x:v>
      </x:c>
      <x:c r="B2" s="2" t="str">
        <x:v>逻辑频率</x:v>
      </x:c>
      <x:c r="C2" s="11" t="n">
        <x:v>60</x:v>
      </x:c>
      <x:c r="D2" s="2" t="str">
        <x:v>Hz</x:v>
      </x:c>
      <x:c r="E2" s="2" t="str">
        <x:v>固定</x:v>
      </x:c>
      <x:c r="F2" s="2" t="str">
        <x:v>全文</x:v>
      </x:c>
      <x:c r="G2" s="2" t="str">
        <x:v>逻辑时序基准</x:v>
      </x:c>
      <x:c r="I2" t="str">
        <x:v>全部为改编试调初值，未实机验证。</x:v>
      </x:c>
    </x:row>
    <x:row r="3" ht="32" customHeight="1">
      <x:c r="A3" s="2" t="str">
        <x:v>magazine</x:v>
      </x:c>
      <x:c r="B3" s="2" t="str">
        <x:v>弹匣容量</x:v>
      </x:c>
      <x:c r="C3" s="11" t="n">
        <x:v>30</x:v>
      </x:c>
      <x:c r="D3" s="2" t="str">
        <x:v>发</x:v>
      </x:c>
      <x:c r="E3" s="2" t="str">
        <x:v>正整数</x:v>
      </x:c>
      <x:c r="F3" s="2" t="str">
        <x:v>02</x:v>
      </x:c>
      <x:c r="G3" s="2" t="str">
        <x:v>观察换弹频率</x:v>
      </x:c>
      <x:c r="I3" t="str">
        <x:v>改值后回写 data/design.json 并重新导出。</x:v>
      </x:c>
    </x:row>
    <x:row r="4" ht="32" customHeight="1">
      <x:c r="A4" s="2" t="str">
        <x:v>rifle_damage</x:v>
      </x:c>
      <x:c r="B4" s="2" t="str">
        <x:v>步枪基础伤害</x:v>
      </x:c>
      <x:c r="C4" s="11" t="n">
        <x:v>10</x:v>
      </x:c>
      <x:c r="D4" s="2" t="str">
        <x:v>点</x:v>
      </x:c>
      <x:c r="E4" s="2" t="str">
        <x:v>&gt;0</x:v>
      </x:c>
      <x:c r="F4" s="2" t="str">
        <x:v>03</x:v>
      </x:c>
      <x:c r="G4" s="2" t="str">
        <x:v>便于逐发核算</x:v>
      </x:c>
      <x:c r="I4" t="str">
        <x:v>配表格式参考 Epic Data Driven Gameplay Elements。</x:v>
      </x:c>
    </x:row>
    <x:row r="5" ht="32" customHeight="1">
      <x:c r="A5" s="2" t="str">
        <x:v>fire_interval</x:v>
      </x:c>
      <x:c r="B5" s="2" t="str">
        <x:v>射击间隔</x:v>
      </x:c>
      <x:c r="C5" s="11" t="n">
        <x:v>12</x:v>
      </x:c>
      <x:c r="D5" s="2" t="str">
        <x:v>F</x:v>
      </x:c>
      <x:c r="E5" s="2" t="str">
        <x:v>&gt;=3</x:v>
      </x:c>
      <x:c r="F5" s="2" t="str">
        <x:v>03</x:v>
      </x:c>
      <x:c r="G5" s="2" t="str">
        <x:v>每秒5发初值</x:v>
      </x:c>
      <x:c r="I5" t="str">
        <x:v>https://dev.epicgames.com/documentation/en-us/unreal-engine/data-driven-gameplay-elements-in-unreal-engine</x:v>
      </x:c>
    </x:row>
    <x:row r="6" ht="32" customHeight="1">
      <x:c r="A6" s="2" t="str">
        <x:v>reload_total</x:v>
      </x:c>
      <x:c r="B6" s="2" t="str">
        <x:v>换弹总长</x:v>
      </x:c>
      <x:c r="C6" s="11" t="n">
        <x:v>90</x:v>
      </x:c>
      <x:c r="D6" s="2" t="str">
        <x:v>F</x:v>
      </x:c>
      <x:c r="E6" s="2" t="str">
        <x:v>&gt;=补弹帧</x:v>
      </x:c>
      <x:c r="F6" s="2" t="str">
        <x:v>02</x:v>
      </x:c>
      <x:c r="G6" s="2" t="str">
        <x:v>先观察1.5秒换弹</x:v>
      </x:c>
    </x:row>
    <x:row r="7" ht="32" customHeight="1">
      <x:c r="A7" s="2" t="str">
        <x:v>reload_event</x:v>
      </x:c>
      <x:c r="B7" s="2" t="str">
        <x:v>补弹事件</x:v>
      </x:c>
      <x:c r="C7" s="11" t="n">
        <x:v>66</x:v>
      </x:c>
      <x:c r="D7" s="2" t="str">
        <x:v>F</x:v>
      </x:c>
      <x:c r="E7" s="2" t="str">
        <x:v>1..总长</x:v>
      </x:c>
      <x:c r="F7" s="2" t="str">
        <x:v>02</x:v>
      </x:c>
      <x:c r="G7" s="2" t="str">
        <x:v>区分补弹与收尾</x:v>
      </x:c>
    </x:row>
    <x:row r="8" ht="32" customHeight="1">
      <x:c r="A8" s="2" t="str">
        <x:v>energy_cap</x:v>
      </x:c>
      <x:c r="B8" s="2" t="str">
        <x:v>能量上限及重射消耗</x:v>
      </x:c>
      <x:c r="C8" s="11" t="n">
        <x:v>100</x:v>
      </x:c>
      <x:c r="D8" s="2" t="str">
        <x:v>点</x:v>
      </x:c>
      <x:c r="E8" s="2" t="str">
        <x:v>&gt;0</x:v>
      </x:c>
      <x:c r="F8" s="2" t="str">
        <x:v>02</x:v>
      </x:c>
      <x:c r="G8" s="2" t="str">
        <x:v>一次完整重射</x:v>
      </x:c>
    </x:row>
    <x:row r="9" ht="32" customHeight="1">
      <x:c r="A9" s="2" t="str">
        <x:v>energy_gain</x:v>
      </x:c>
      <x:c r="B9" s="2" t="str">
        <x:v>单发命中回能</x:v>
      </x:c>
      <x:c r="C9" s="11" t="n">
        <x:v>2</x:v>
      </x:c>
      <x:c r="D9" s="2" t="str">
        <x:v>点</x:v>
      </x:c>
      <x:c r="E9" s="2" t="str">
        <x:v>&gt;0</x:v>
      </x:c>
      <x:c r="F9" s="2" t="str">
        <x:v>02</x:v>
      </x:c>
      <x:c r="G9" s="2" t="str">
        <x:v>50次命中蓄满</x:v>
      </x:c>
    </x:row>
    <x:row r="10" ht="32" customHeight="1">
      <x:c r="A10" s="2" t="str">
        <x:v>charge_full</x:v>
      </x:c>
      <x:c r="B10" s="2" t="str">
        <x:v>满蓄时间</x:v>
      </x:c>
      <x:c r="C10" s="11" t="n">
        <x:v>60</x:v>
      </x:c>
      <x:c r="D10" s="2" t="str">
        <x:v>F</x:v>
      </x:c>
      <x:c r="E10" s="2" t="str">
        <x:v>&gt;0</x:v>
      </x:c>
      <x:c r="F10" s="2" t="str">
        <x:v>03</x:v>
      </x:c>
      <x:c r="G10" s="2" t="str">
        <x:v>1秒安全窗口</x:v>
      </x:c>
    </x:row>
    <x:row r="11" ht="32" customHeight="1">
      <x:c r="A11" s="2" t="str">
        <x:v>heavy_min</x:v>
      </x:c>
      <x:c r="B11" s="2" t="str">
        <x:v>未蓄力伤害</x:v>
      </x:c>
      <x:c r="C11" s="11" t="n">
        <x:v>80</x:v>
      </x:c>
      <x:c r="D11" s="2" t="str">
        <x:v>点</x:v>
      </x:c>
      <x:c r="E11" s="2" t="str">
        <x:v>&gt;0</x:v>
      </x:c>
      <x:c r="F11" s="2" t="str">
        <x:v>03</x:v>
      </x:c>
      <x:c r="G11" s="2" t="str">
        <x:v>提前击发收益</x:v>
      </x:c>
    </x:row>
    <x:row r="12" ht="32" customHeight="1">
      <x:c r="A12" s="2" t="str">
        <x:v>heavy_max</x:v>
      </x:c>
      <x:c r="B12" s="2" t="str">
        <x:v>满蓄伤害</x:v>
      </x:c>
      <x:c r="C12" s="11" t="n">
        <x:v>240</x:v>
      </x:c>
      <x:c r="D12" s="2" t="str">
        <x:v>点</x:v>
      </x:c>
      <x:c r="E12" s="2" t="str">
        <x:v>&gt;=未蓄力</x:v>
      </x:c>
      <x:c r="F12" s="2" t="str">
        <x:v>03</x:v>
      </x:c>
      <x:c r="G12" s="2" t="str">
        <x:v>等待收益</x:v>
      </x:c>
    </x:row>
    <x:row r="13" ht="32" customHeight="1">
      <x:c r="A13" s="2" t="str">
        <x:v>weakpoint</x:v>
      </x:c>
      <x:c r="B13" s="2" t="str">
        <x:v>弱点倍率</x:v>
      </x:c>
      <x:c r="C13" s="12" t="n">
        <x:v>1.5</x:v>
      </x:c>
      <x:c r="D13" s="2" t="str">
        <x:v>倍</x:v>
      </x:c>
      <x:c r="E13" s="2" t="str">
        <x:v>&gt;0</x:v>
      </x:c>
      <x:c r="F13" s="2" t="str">
        <x:v>04</x:v>
      </x:c>
      <x:c r="G13" s="2" t="str">
        <x:v>区分命中区域</x:v>
      </x:c>
    </x:row>
    <x:row r="14" ht="32" customHeight="1">
      <x:c r="A14" s="2" t="str">
        <x:v>armor</x:v>
      </x:c>
      <x:c r="B14" s="2" t="str">
        <x:v>装甲本体倍率</x:v>
      </x:c>
      <x:c r="C14" s="12" t="n">
        <x:v>0.5</x:v>
      </x:c>
      <x:c r="D14" s="2" t="str">
        <x:v>倍</x:v>
      </x:c>
      <x:c r="E14" s="2" t="str">
        <x:v>0..1</x:v>
      </x:c>
      <x:c r="F14" s="2" t="str">
        <x:v>04</x:v>
      </x:c>
      <x:c r="G14" s="2" t="str">
        <x:v>封闭本体保护</x:v>
      </x:c>
    </x:row>
    <x:row r="15" ht="32" customHeight="1">
      <x:c r="A15" s="2" t="str">
        <x:v>rifle_range</x:v>
      </x:c>
      <x:c r="B15" s="2" t="str">
        <x:v>步枪射程</x:v>
      </x:c>
      <x:c r="C15" s="11" t="n">
        <x:v>30</x:v>
      </x:c>
      <x:c r="D15" s="2" t="str">
        <x:v>m</x:v>
      </x:c>
      <x:c r="E15" s="2" t="str">
        <x:v>&gt;0</x:v>
      </x:c>
      <x:c r="F15" s="2" t="str">
        <x:v>04</x:v>
      </x:c>
      <x:c r="G15" s="2" t="str">
        <x:v>灰盒中距离</x:v>
      </x:c>
    </x:row>
    <x:row r="16" ht="32" customHeight="1">
      <x:c r="A16" s="2" t="str">
        <x:v>heavy_range</x:v>
      </x:c>
      <x:c r="B16" s="2" t="str">
        <x:v>重射射程</x:v>
      </x:c>
      <x:c r="C16" s="11" t="n">
        <x:v>60</x:v>
      </x:c>
      <x:c r="D16" s="2" t="str">
        <x:v>m</x:v>
      </x:c>
      <x:c r="E16" s="2" t="str">
        <x:v>&gt;=步枪射程</x:v>
      </x:c>
      <x:c r="F16" s="2" t="str">
        <x:v>04</x:v>
      </x:c>
      <x:c r="G16" s="2" t="str">
        <x:v>重火力直线</x:v>
      </x:c>
    </x:row>
    <x:row r="17" ht="32" customHeight="1">
      <x:c r="A17" s="2" t="str">
        <x:v>pierce_targets</x:v>
      </x:c>
      <x:c r="B17" s="2" t="str">
        <x:v>重射贯穿数量</x:v>
      </x:c>
      <x:c r="C17" s="11" t="n">
        <x:v>3</x:v>
      </x:c>
      <x:c r="D17" s="2" t="str">
        <x:v>个</x:v>
      </x:c>
      <x:c r="E17" s="2" t="str">
        <x:v>正整数</x:v>
      </x:c>
      <x:c r="F17" s="2" t="str">
        <x:v>04</x:v>
      </x:c>
      <x:c r="G17" s="2" t="str">
        <x:v>限制同线收益</x:v>
      </x:c>
    </x:row>
    <x:row r="18" ht="32" customHeight="1">
      <x:c r="A18" s="2" t="str">
        <x:v>input_buffer</x:v>
      </x:c>
      <x:c r="B18" s="2" t="str">
        <x:v>离散输入缓冲</x:v>
      </x:c>
      <x:c r="C18" s="11" t="n">
        <x:v>6</x:v>
      </x:c>
      <x:c r="D18" s="2" t="str">
        <x:v>F</x:v>
      </x:c>
      <x:c r="E18" s="2" t="str">
        <x:v>正整数</x:v>
      </x:c>
      <x:c r="F18" s="2" t="str">
        <x:v>03</x:v>
      </x:c>
      <x:c r="G18" s="2" t="str">
        <x:v>单槽输入意图</x:v>
      </x:c>
    </x:row>
    <x:row r="19" ht="32" customHeight="1">
      <x:c r="A19" s="2" t="str">
        <x:v>dodge_total</x:v>
      </x:c>
      <x:c r="B19" s="2" t="str">
        <x:v>闪避总长</x:v>
      </x:c>
      <x:c r="C19" s="11" t="n">
        <x:v>30</x:v>
      </x:c>
      <x:c r="D19" s="2" t="str">
        <x:v>F</x:v>
      </x:c>
      <x:c r="E19" s="2" t="str">
        <x:v>&gt;=无敌结束</x:v>
      </x:c>
      <x:c r="F19" s="2" t="str">
        <x:v>02</x:v>
      </x:c>
      <x:c r="G19" s="2" t="str">
        <x:v>位移与收尾</x:v>
      </x:c>
    </x:row>
    <x:row r="20" ht="32" customHeight="1">
      <x:c r="A20" s="2" t="str">
        <x:v>dodge_iframe_start</x:v>
      </x:c>
      <x:c r="B20" s="2" t="str">
        <x:v>无敌起点</x:v>
      </x:c>
      <x:c r="C20" s="11" t="n">
        <x:v>4</x:v>
      </x:c>
      <x:c r="D20" s="2" t="str">
        <x:v>F</x:v>
      </x:c>
      <x:c r="E20" s="2" t="str">
        <x:v>1..结束</x:v>
      </x:c>
      <x:c r="F20" s="2" t="str">
        <x:v>02</x:v>
      </x:c>
      <x:c r="G20" s="2" t="str">
        <x:v>有启动风险</x:v>
      </x:c>
    </x:row>
    <x:row r="21" ht="32" customHeight="1">
      <x:c r="A21" s="2" t="str">
        <x:v>dodge_iframe_end</x:v>
      </x:c>
      <x:c r="B21" s="2" t="str">
        <x:v>无敌终点</x:v>
      </x:c>
      <x:c r="C21" s="11" t="n">
        <x:v>12</x:v>
      </x:c>
      <x:c r="D21" s="2" t="str">
        <x:v>F</x:v>
      </x:c>
      <x:c r="E21" s="2" t="str">
        <x:v>起点..总长</x:v>
      </x:c>
      <x:c r="F21" s="2" t="str">
        <x:v>02</x:v>
      </x:c>
      <x:c r="G21" s="2" t="str">
        <x:v>9F保护</x:v>
      </x:c>
    </x:row>
    <x:row r="22" ht="32" customHeight="1">
      <x:c r="A22" s="2" t="str">
        <x:v>dodge_resume</x:v>
      </x:c>
      <x:c r="B22" s="2" t="str">
        <x:v>闪避后出手起点</x:v>
      </x:c>
      <x:c r="C22" s="11" t="n">
        <x:v>19</x:v>
      </x:c>
      <x:c r="D22" s="2" t="str">
        <x:v>F</x:v>
      </x:c>
      <x:c r="E22" s="2" t="str">
        <x:v>&gt;无敌结束</x:v>
      </x:c>
      <x:c r="F22" s="2" t="str">
        <x:v>02</x:v>
      </x:c>
      <x:c r="G22" s="2" t="str">
        <x:v>不带无敌开火</x:v>
      </x:c>
    </x:row>
    <x:row r="23" ht="32" customHeight="1">
      <x:c r="A23" s="2" t="str">
        <x:v>dodge_cooldown</x:v>
      </x:c>
      <x:c r="B23" s="2" t="str">
        <x:v>闪避冷却</x:v>
      </x:c>
      <x:c r="C23" s="11" t="n">
        <x:v>48</x:v>
      </x:c>
      <x:c r="D23" s="2" t="str">
        <x:v>F</x:v>
      </x:c>
      <x:c r="E23" s="2" t="str">
        <x:v>&gt;=总长</x:v>
      </x:c>
      <x:c r="F23" s="2" t="str">
        <x:v>02</x:v>
      </x:c>
      <x:c r="G23" s="2" t="str">
        <x:v>限制连续闪避</x:v>
      </x:c>
    </x:row>
    <x:row r="24" ht="32" customHeight="1">
      <x:c r="A24" s="2" t="str">
        <x:v>dodge_distance</x:v>
      </x:c>
      <x:c r="B24" s="2" t="str">
        <x:v>闪避距离</x:v>
      </x:c>
      <x:c r="C24" s="11" t="n">
        <x:v>3</x:v>
      </x:c>
      <x:c r="D24" s="2" t="str">
        <x:v>m</x:v>
      </x:c>
      <x:c r="E24" s="2" t="str">
        <x:v>&gt;0</x:v>
      </x:c>
      <x:c r="F24" s="2" t="str">
        <x:v>02</x:v>
      </x:c>
      <x:c r="G24" s="2" t="str">
        <x:v>受场景碰撞限制</x:v>
      </x:c>
    </x:row>
    <x:row r="25" ht="32" customHeight="1">
      <x:c r="A25" s="2" t="str">
        <x:v>move_speed</x:v>
      </x:c>
      <x:c r="B25" s="2" t="str">
        <x:v>基础移动</x:v>
      </x:c>
      <x:c r="C25" s="11" t="n">
        <x:v>5</x:v>
      </x:c>
      <x:c r="D25" s="2" t="str">
        <x:v>m/s</x:v>
      </x:c>
      <x:c r="E25" s="2" t="str">
        <x:v>&gt;0</x:v>
      </x:c>
      <x:c r="F25" s="2" t="str">
        <x:v>03</x:v>
      </x:c>
      <x:c r="G25" s="2" t="str">
        <x:v>站位调整</x:v>
      </x:c>
    </x:row>
    <x:row r="26" ht="32" customHeight="1">
      <x:c r="A26" s="2" t="str">
        <x:v>ads_speed</x:v>
      </x:c>
      <x:c r="B26" s="2" t="str">
        <x:v>精瞄移动</x:v>
      </x:c>
      <x:c r="C26" s="12" t="n">
        <x:v>3.5</x:v>
      </x:c>
      <x:c r="D26" s="2" t="str">
        <x:v>m/s</x:v>
      </x:c>
      <x:c r="E26" s="2" t="str">
        <x:v>&lt;=基础移动</x:v>
      </x:c>
      <x:c r="F26" s="2" t="str">
        <x:v>03</x:v>
      </x:c>
      <x:c r="G26" s="2" t="str">
        <x:v>保留横向应对</x:v>
      </x:c>
    </x:row>
    <x:row r="27" ht="32" customHeight="1">
      <x:c r="A27" s="2" t="str">
        <x:v>heavy_speed</x:v>
      </x:c>
      <x:c r="B27" s="2" t="str">
        <x:v>准备与蓄力移动</x:v>
      </x:c>
      <x:c r="C27" s="12" t="n">
        <x:v>1.5</x:v>
      </x:c>
      <x:c r="D27" s="2" t="str">
        <x:v>m/s</x:v>
      </x:c>
      <x:c r="E27" s="2" t="str">
        <x:v>&lt;=精瞄移动</x:v>
      </x:c>
      <x:c r="F27" s="2" t="str">
        <x:v>03</x:v>
      </x:c>
      <x:c r="G27" s="2" t="str">
        <x:v>重武器风险</x:v>
      </x:c>
    </x:row>
    <x:row r="28" ht="32" customHeight="1">
      <x:c r="A28" s="2" t="str">
        <x:v>melee_damage</x:v>
      </x:c>
      <x:c r="B28" s="2" t="str">
        <x:v>近击伤害</x:v>
      </x:c>
      <x:c r="C28" s="11" t="n">
        <x:v>5</x:v>
      </x:c>
      <x:c r="D28" s="2" t="str">
        <x:v>点</x:v>
      </x:c>
      <x:c r="E28" s="2" t="str">
        <x:v>&gt;0</x:v>
      </x:c>
      <x:c r="F28" s="2" t="str">
        <x:v>03</x:v>
      </x:c>
      <x:c r="G28" s="2" t="str">
        <x:v>打断为主</x:v>
      </x:c>
    </x:row>
    <x:row r="29" ht="32" customHeight="1">
      <x:c r="A29" s="2" t="str">
        <x:v>melee_stagger</x:v>
      </x:c>
      <x:c r="B29" s="2" t="str">
        <x:v>轻敌近击硬直</x:v>
      </x:c>
      <x:c r="C29" s="11" t="n">
        <x:v>24</x:v>
      </x:c>
      <x:c r="D29" s="2" t="str">
        <x:v>F</x:v>
      </x:c>
      <x:c r="E29" s="2" t="str">
        <x:v>&gt;0</x:v>
      </x:c>
      <x:c r="F29" s="2" t="str">
        <x:v>03</x:v>
      </x:c>
      <x:c r="G29" s="2" t="str">
        <x:v>撤离窗口</x:v>
      </x:c>
    </x:row>
    <x:row r="30" ht="32" customHeight="1">
      <x:c r="A30" s="2" t="str">
        <x:v>melee_range</x:v>
      </x:c>
      <x:c r="B30" s="2" t="str">
        <x:v>近击距离</x:v>
      </x:c>
      <x:c r="C30" s="12" t="n">
        <x:v>1.8</x:v>
      </x:c>
      <x:c r="D30" s="2" t="str">
        <x:v>m</x:v>
      </x:c>
      <x:c r="E30" s="2" t="str">
        <x:v>&gt;0</x:v>
      </x:c>
      <x:c r="F30" s="2" t="str">
        <x:v>03</x:v>
      </x:c>
      <x:c r="G30" s="2" t="str">
        <x:v>近身应急</x:v>
      </x:c>
    </x:row>
    <x:row r="31" ht="32" customHeight="1">
      <x:c r="A31" s="2" t="str">
        <x:v>health</x:v>
      </x:c>
      <x:c r="B31" s="2" t="str">
        <x:v>角色初始生命</x:v>
      </x:c>
      <x:c r="C31" s="11" t="n">
        <x:v>100</x:v>
      </x:c>
      <x:c r="D31" s="2" t="str">
        <x:v>点</x:v>
      </x:c>
      <x:c r="E31" s="2" t="str">
        <x:v>&gt;0</x:v>
      </x:c>
      <x:c r="F31" s="2" t="str">
        <x:v>02</x:v>
      </x:c>
      <x:c r="G31" s="2" t="str">
        <x:v>训练场初值</x:v>
      </x:c>
    </x:row>
    <x:row r="32" ht="32" customHeight="1">
      <x:c r="A32" s="2" t="str">
        <x:v>hit_total</x:v>
      </x:c>
      <x:c r="B32" s="2" t="str">
        <x:v>受击硬直</x:v>
      </x:c>
      <x:c r="C32" s="11" t="n">
        <x:v>18</x:v>
      </x:c>
      <x:c r="D32" s="2" t="str">
        <x:v>F</x:v>
      </x:c>
      <x:c r="E32" s="2" t="str">
        <x:v>&gt;0</x:v>
      </x:c>
      <x:c r="F32" s="2" t="str">
        <x:v>02</x:v>
      </x:c>
      <x:c r="G32" s="2" t="str">
        <x:v>受击代价</x:v>
      </x:c>
    </x:row>
    <x:row r="33" ht="32" customHeight="1">
      <x:c r="A33" s="2" t="str">
        <x:v>hit_protection</x:v>
      </x:c>
      <x:c r="B33" s="2" t="str">
        <x:v>受击后保护</x:v>
      </x:c>
      <x:c r="C33" s="11" t="n">
        <x:v>30</x:v>
      </x:c>
      <x:c r="D33" s="2" t="str">
        <x:v>F</x:v>
      </x:c>
      <x:c r="E33" s="2" t="str">
        <x:v>&gt;=受击硬直</x:v>
      </x:c>
      <x:c r="F33" s="2" t="str">
        <x:v>02</x:v>
      </x:c>
      <x:c r="G33" s="2" t="str">
        <x:v>避免重复结算失控</x:v>
      </x:c>
    </x:row>
    <x:row r="34" ht="32" customHeight="1">
      <x:c r="A34" s="2" t="str">
        <x:v>fov_normal</x:v>
      </x:c>
      <x:c r="B34" s="2" t="str">
        <x:v>常态垂直FOV</x:v>
      </x:c>
      <x:c r="C34" s="11" t="n">
        <x:v>65</x:v>
      </x:c>
      <x:c r="D34" s="2" t="str">
        <x:v>度</x:v>
      </x:c>
      <x:c r="E34" s="2" t="str">
        <x:v>0..180</x:v>
      </x:c>
      <x:c r="F34" s="2" t="str">
        <x:v>05</x:v>
      </x:c>
      <x:c r="G34" s="2" t="str">
        <x:v>肩后视野</x:v>
      </x:c>
    </x:row>
    <x:row r="35" ht="32" customHeight="1">
      <x:c r="A35" s="2" t="str">
        <x:v>fov_ads</x:v>
      </x:c>
      <x:c r="B35" s="2" t="str">
        <x:v>精瞄垂直FOV</x:v>
      </x:c>
      <x:c r="C35" s="11" t="n">
        <x:v>50</x:v>
      </x:c>
      <x:c r="D35" s="2" t="str">
        <x:v>度</x:v>
      </x:c>
      <x:c r="E35" s="2" t="str">
        <x:v>0..常态</x:v>
      </x:c>
      <x:c r="F35" s="2" t="str">
        <x:v>05</x:v>
      </x:c>
      <x:c r="G35" s="2" t="str">
        <x:v>适度收窄</x:v>
      </x:c>
    </x:row>
    <x:row r="36" ht="32" customHeight="1">
      <x:c r="A36" s="2" t="str">
        <x:v>fov_heavy</x:v>
      </x:c>
      <x:c r="B36" s="2" t="str">
        <x:v>重武器垂直FOV</x:v>
      </x:c>
      <x:c r="C36" s="11" t="n">
        <x:v>45</x:v>
      </x:c>
      <x:c r="D36" s="2" t="str">
        <x:v>度</x:v>
      </x:c>
      <x:c r="E36" s="2" t="str">
        <x:v>0..精瞄</x:v>
      </x:c>
      <x:c r="F36" s="2" t="str">
        <x:v>05</x:v>
      </x:c>
      <x:c r="G36" s="2" t="str">
        <x:v>保留周围威胁</x:v>
      </x:c>
    </x:row>
    <x:row r="37" ht="32" customHeight="1">
      <x:c r="A37" s="2" t="str">
        <x:v>fov_transition</x:v>
      </x:c>
      <x:c r="B37" s="2" t="str">
        <x:v>FOV过渡</x:v>
      </x:c>
      <x:c r="C37" s="11" t="n">
        <x:v>12</x:v>
      </x:c>
      <x:c r="D37" s="2" t="str">
        <x:v>F</x:v>
      </x:c>
      <x:c r="E37" s="2" t="str">
        <x:v>&gt;0</x:v>
      </x:c>
      <x:c r="F37" s="2" t="str">
        <x:v>05</x:v>
      </x:c>
      <x:c r="G37" s="2" t="str">
        <x:v>平滑过渡</x:v>
      </x:c>
    </x:row>
    <x:row r="38" ht="32" customHeight="1">
      <x:c r="A38" s="2" t="str">
        <x:v>attack_tokens</x:v>
      </x:c>
      <x:c r="B38" s="2" t="str">
        <x:v>敌人攻击权限</x:v>
      </x:c>
      <x:c r="C38" s="11" t="n">
        <x:v>1</x:v>
      </x:c>
      <x:c r="D38" s="2" t="str">
        <x:v>个</x:v>
      </x:c>
      <x:c r="E38" s="2" t="str">
        <x:v>正整数</x:v>
      </x:c>
      <x:c r="F38" s="2" t="str">
        <x:v>06</x:v>
      </x:c>
      <x:c r="G38" s="2" t="str">
        <x:v>先核对单威胁预警</x:v>
      </x:c>
    </x:row>
  </x:sheetData>
  <x:pageMargins left="0.7" right="0.7" top="0.75" bottom="0.75" header="0.3" footer="0.3"/>
  <x:tableParts count="1">
    <x:tablePart xmlns:r="http://schemas.openxmlformats.org/officeDocument/2006/relationships" r:id="R8acde02a4d684e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22" hidden="0" customWidth="1"/>
    <x:col min="7" max="7" width="12" hidden="0" customWidth="1"/>
    <x:col min="8" max="8" width="28" hidden="0" customWidth="1"/>
    <x:col min="9" max="9" width="32" hidden="0" customWidth="1"/>
  </x:cols>
  <x:sheetData>
    <x:row r="1" ht="32" customHeight="1">
      <x:c r="A1" s="5" t="str">
        <x:v>动作ID</x:v>
      </x:c>
      <x:c r="B1" s="5" t="str">
        <x:v>名称</x:v>
      </x:c>
      <x:c r="C1" s="5" t="str">
        <x:v>总长 F</x:v>
      </x:c>
      <x:c r="D1" s="5" t="str">
        <x:v>效果起 F</x:v>
      </x:c>
      <x:c r="E1" s="5" t="str">
        <x:v>效果止 F</x:v>
      </x:c>
      <x:c r="F1" s="5" t="str">
        <x:v>可闪避区间 F</x:v>
      </x:c>
      <x:c r="G1" s="5" t="str">
        <x:v>冷却 F</x:v>
      </x:c>
      <x:c r="H1" s="5" t="str">
        <x:v>资源</x:v>
      </x:c>
      <x:c r="I1" s="5" t="str">
        <x:v>回到状态</x:v>
      </x:c>
    </x:row>
    <x:row r="2" ht="32" customHeight="1">
      <x:c r="A2" s="2" t="str">
        <x:v>A_FIRE</x:v>
      </x:c>
      <x:c r="B2" s="2" t="str">
        <x:v>步枪射击</x:v>
      </x:c>
      <x:c r="C2" s="7" t="n">
        <x:v>12</x:v>
      </x:c>
      <x:c r="D2" s="7" t="n">
        <x:v>3</x:v>
      </x:c>
      <x:c r="E2" s="7" t="n">
        <x:v>3</x:v>
      </x:c>
      <x:c r="F2" s="6" t="str">
        <x:v>4-12</x:v>
      </x:c>
      <x:c r="G2" s="7" t="n">
        <x:v>0</x:v>
      </x:c>
      <x:c r="H2" s="2" t="str">
        <x:v>1发</x:v>
      </x:c>
      <x:c r="I2" s="2" t="str">
        <x:v>步枪→步枪</x:v>
      </x:c>
    </x:row>
    <x:row r="3" ht="32" customHeight="1">
      <x:c r="A3" s="2" t="str">
        <x:v>A_RELOAD</x:v>
      </x:c>
      <x:c r="B3" s="2" t="str">
        <x:v>换弹</x:v>
      </x:c>
      <x:c r="C3" s="7" t="n">
        <x:v>90</x:v>
      </x:c>
      <x:c r="D3" s="7" t="n">
        <x:v>66</x:v>
      </x:c>
      <x:c r="E3" s="7" t="n">
        <x:v>66</x:v>
      </x:c>
      <x:c r="F3" s="6" t="str">
        <x:v>1-90</x:v>
      </x:c>
      <x:c r="G3" s="7" t="n">
        <x:v>0</x:v>
      </x:c>
      <x:c r="H3" s="2" t="str">
        <x:v>无</x:v>
      </x:c>
      <x:c r="I3" s="2" t="str">
        <x:v>步枪→步枪</x:v>
      </x:c>
    </x:row>
    <x:row r="4" ht="32" customHeight="1">
      <x:c r="A4" s="2" t="str">
        <x:v>A_MELEE</x:v>
      </x:c>
      <x:c r="B4" s="2" t="str">
        <x:v>枪托近击</x:v>
      </x:c>
      <x:c r="C4" s="7" t="n">
        <x:v>36</x:v>
      </x:c>
      <x:c r="D4" s="7" t="n">
        <x:v>13</x:v>
      </x:c>
      <x:c r="E4" s="7" t="n">
        <x:v>15</x:v>
      </x:c>
      <x:c r="F4" s="6" t="str">
        <x:v>20-36</x:v>
      </x:c>
      <x:c r="G4" s="7" t="n">
        <x:v>0</x:v>
      </x:c>
      <x:c r="H4" s="2" t="str">
        <x:v>无</x:v>
      </x:c>
      <x:c r="I4" s="2" t="str">
        <x:v>步枪→步枪</x:v>
      </x:c>
    </x:row>
    <x:row r="5" ht="32" customHeight="1">
      <x:c r="A5" s="2" t="str">
        <x:v>A_ENTER</x:v>
      </x:c>
      <x:c r="B5" s="2" t="str">
        <x:v>重武器准备</x:v>
      </x:c>
      <x:c r="C5" s="7" t="n">
        <x:v>24</x:v>
      </x:c>
      <x:c r="D5" s="7" t="str">
        <x:v>不适用</x:v>
      </x:c>
      <x:c r="E5" s="7" t="str">
        <x:v>不适用</x:v>
      </x:c>
      <x:c r="F5" s="6" t="str">
        <x:v>1-24</x:v>
      </x:c>
      <x:c r="G5" s="7" t="n">
        <x:v>0</x:v>
      </x:c>
      <x:c r="H5" s="2" t="str">
        <x:v>需100能量；不扣</x:v>
      </x:c>
      <x:c r="I5" s="2" t="str">
        <x:v>步枪→重武器</x:v>
      </x:c>
    </x:row>
    <x:row r="6" ht="32" customHeight="1">
      <x:c r="A6" s="2" t="str">
        <x:v>A_CHARGE</x:v>
      </x:c>
      <x:c r="B6" s="2" t="str">
        <x:v>重武器蓄力</x:v>
      </x:c>
      <x:c r="C6" s="7" t="str">
        <x:v>不适用</x:v>
      </x:c>
      <x:c r="D6" s="7" t="str">
        <x:v>不适用</x:v>
      </x:c>
      <x:c r="E6" s="7" t="str">
        <x:v>不适用</x:v>
      </x:c>
      <x:c r="F6" s="6" t="str">
        <x:v>任意</x:v>
      </x:c>
      <x:c r="G6" s="7" t="n">
        <x:v>0</x:v>
      </x:c>
      <x:c r="H6" s="2" t="str">
        <x:v>不扣</x:v>
      </x:c>
      <x:c r="I6" s="2" t="str">
        <x:v>重武器→重射/退出</x:v>
      </x:c>
    </x:row>
    <x:row r="7" ht="32" customHeight="1">
      <x:c r="A7" s="2" t="str">
        <x:v>A_HEAVY_FIRE</x:v>
      </x:c>
      <x:c r="B7" s="2" t="str">
        <x:v>重武器击发</x:v>
      </x:c>
      <x:c r="C7" s="7" t="n">
        <x:v>30</x:v>
      </x:c>
      <x:c r="D7" s="7" t="n">
        <x:v>6</x:v>
      </x:c>
      <x:c r="E7" s="7" t="n">
        <x:v>6</x:v>
      </x:c>
      <x:c r="F7" s="6" t="str">
        <x:v>1-6;19-30</x:v>
      </x:c>
      <x:c r="G7" s="7" t="n">
        <x:v>0</x:v>
      </x:c>
      <x:c r="H7" s="2" t="str">
        <x:v>F6扣100能量</x:v>
      </x:c>
      <x:c r="I7" s="2" t="str">
        <x:v>重武器→步枪</x:v>
      </x:c>
    </x:row>
    <x:row r="8" ht="32" customHeight="1">
      <x:c r="A8" s="2" t="str">
        <x:v>A_EXIT</x:v>
      </x:c>
      <x:c r="B8" s="2" t="str">
        <x:v>收枪</x:v>
      </x:c>
      <x:c r="C8" s="7" t="n">
        <x:v>18</x:v>
      </x:c>
      <x:c r="D8" s="7" t="str">
        <x:v>不适用</x:v>
      </x:c>
      <x:c r="E8" s="7" t="str">
        <x:v>不适用</x:v>
      </x:c>
      <x:c r="F8" s="6" t="str">
        <x:v>1-18</x:v>
      </x:c>
      <x:c r="G8" s="7" t="n">
        <x:v>0</x:v>
      </x:c>
      <x:c r="H8" s="2" t="str">
        <x:v>无</x:v>
      </x:c>
      <x:c r="I8" s="2" t="str">
        <x:v>重武器→步枪</x:v>
      </x:c>
    </x:row>
    <x:row r="9" ht="32" customHeight="1">
      <x:c r="A9" s="2" t="str">
        <x:v>A_DODGE</x:v>
      </x:c>
      <x:c r="B9" s="2" t="str">
        <x:v>闪避</x:v>
      </x:c>
      <x:c r="C9" s="7" t="n">
        <x:v>30</x:v>
      </x:c>
      <x:c r="D9" s="7" t="n">
        <x:v>4</x:v>
      </x:c>
      <x:c r="E9" s="7" t="n">
        <x:v>12</x:v>
      </x:c>
      <x:c r="F9" s="6" t="str">
        <x:v>不允许</x:v>
      </x:c>
      <x:c r="G9" s="7" t="n">
        <x:v>48</x:v>
      </x:c>
      <x:c r="H9" s="2" t="str">
        <x:v>无</x:v>
      </x:c>
      <x:c r="I9" s="2" t="str">
        <x:v>任意合法状态→步枪</x:v>
      </x:c>
    </x:row>
    <x:row r="10" ht="32" customHeight="1">
      <x:c r="A10" s="2" t="str">
        <x:v>A_HIT</x:v>
      </x:c>
      <x:c r="B10" s="2" t="str">
        <x:v>普通受击</x:v>
      </x:c>
      <x:c r="C10" s="7" t="n">
        <x:v>18</x:v>
      </x:c>
      <x:c r="D10" s="7" t="str">
        <x:v>不适用</x:v>
      </x:c>
      <x:c r="E10" s="7" t="str">
        <x:v>不适用</x:v>
      </x:c>
      <x:c r="F10" s="6" t="str">
        <x:v>不允许</x:v>
      </x:c>
      <x:c r="G10" s="7" t="n">
        <x:v>0</x:v>
      </x:c>
      <x:c r="H10" s="2" t="str">
        <x:v>受伤</x:v>
      </x:c>
      <x:c r="I10" s="2" t="str">
        <x:v>任意可受击状态→步枪</x:v>
      </x:c>
    </x:row>
    <x:row r="11" ht="32" customHeight="1">
      <x:c r="A11" s="2" t="str">
        <x:v>A_DEAD</x:v>
      </x:c>
      <x:c r="B11" s="2" t="str">
        <x:v>死亡</x:v>
      </x:c>
      <x:c r="C11" s="7" t="str">
        <x:v>不适用</x:v>
      </x:c>
      <x:c r="D11" s="7" t="str">
        <x:v>不适用</x:v>
      </x:c>
      <x:c r="E11" s="7" t="str">
        <x:v>不适用</x:v>
      </x:c>
      <x:c r="F11" s="6" t="str">
        <x:v>不允许</x:v>
      </x:c>
      <x:c r="G11" s="7" t="n">
        <x:v>0</x:v>
      </x:c>
      <x:c r="H11" s="2" t="str">
        <x:v>生命归零</x:v>
      </x:c>
      <x:c r="I11" s="2" t="str">
        <x:v>终止战斗</x:v>
      </x:c>
    </x:row>
  </x:sheetData>
  <x:pageMargins left="0.7" right="0.7" top="0.75" bottom="0.75" header="0.3" footer="0.3"/>
  <x:tableParts count="1">
    <x:tablePart xmlns:r="http://schemas.openxmlformats.org/officeDocument/2006/relationships" r:id="R580ecfbadf6a40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60" hidden="0" customWidth="1"/>
  </x:cols>
  <x:sheetData>
    <x:row r="1" ht="36" customHeight="1">
      <x:c r="A1" s="4" t="str">
        <x:v>试算项</x:v>
      </x:c>
      <x:c r="B1" s="4" t="str">
        <x:v>结果</x:v>
      </x:c>
      <x:c r="C1" s="4" t="str">
        <x:v>单位</x:v>
      </x:c>
      <x:c r="D1" s="4" t="str">
        <x:v>口径</x:v>
      </x:c>
    </x:row>
    <x:row r="2" ht="36" customHeight="1">
      <x:c r="A2" s="2" t="str">
        <x:v>每秒发射</x:v>
      </x:c>
      <x:c r="B2" s="13" t="n">
        <x:f>'参数'!C2/'参数'!C5</x:f>
        <x:v>5</x:v>
      </x:c>
      <x:c r="C2" s="2" t="str">
        <x:v>发/s</x:v>
      </x:c>
      <x:c r="D2" s="2" t="str">
        <x:v>连续射击，不计中断</x:v>
      </x:c>
    </x:row>
    <x:row r="3" ht="36" customHeight="1">
      <x:c r="A3" s="2" t="str">
        <x:v>单匣射击时间</x:v>
      </x:c>
      <x:c r="B3" s="14" t="n">
        <x:f>'参数'!C3*'参数'!C5/'参数'!C2</x:f>
        <x:v>6</x:v>
      </x:c>
      <x:c r="C3" s="2" t="str">
        <x:v>s</x:v>
      </x:c>
      <x:c r="D3" s="2" t="str">
        <x:v>按周期估算，忽略首发偏移</x:v>
      </x:c>
    </x:row>
    <x:row r="4" ht="36" customHeight="1">
      <x:c r="A4" s="2" t="str">
        <x:v>单匣基础伤害</x:v>
      </x:c>
      <x:c r="B4" s="13" t="n">
        <x:f>'参数'!C3*'参数'!C4</x:f>
        <x:v>300</x:v>
      </x:c>
      <x:c r="C4" s="2" t="str">
        <x:v>点</x:v>
      </x:c>
      <x:c r="D4" s="2" t="str">
        <x:v>全中本体，不含弱点/装甲</x:v>
      </x:c>
    </x:row>
    <x:row r="5" ht="36" customHeight="1">
      <x:c r="A5" s="2" t="str">
        <x:v>完整射击+换弹周期</x:v>
      </x:c>
      <x:c r="B5" s="14" t="n">
        <x:f>B3+'参数'!C6/'参数'!C2</x:f>
        <x:v>7.5</x:v>
      </x:c>
      <x:c r="C5" s="2" t="str">
        <x:v>s</x:v>
      </x:c>
      <x:c r="D5" s="2" t="str">
        <x:v>完整换弹到F90，不取消后摇</x:v>
      </x:c>
    </x:row>
    <x:row r="6" ht="36" customHeight="1">
      <x:c r="A6" s="2" t="str">
        <x:v>理论持续DPS</x:v>
      </x:c>
      <x:c r="B6" s="14" t="n">
        <x:f>B4/B5</x:f>
        <x:v>40</x:v>
      </x:c>
      <x:c r="C6" s="2" t="str">
        <x:v>点/s</x:v>
      </x:c>
      <x:c r="D6" s="2" t="str">
        <x:v>忽略走位、失误、受击与取消</x:v>
      </x:c>
    </x:row>
    <x:row r="7" ht="36" customHeight="1">
      <x:c r="A7" s="2" t="str">
        <x:v>满能有效命中数</x:v>
      </x:c>
      <x:c r="B7" s="13" t="n">
        <x:f>ROUNDUP('参数'!C8/'参数'!C9,0)</x:f>
        <x:v>50</x:v>
      </x:c>
      <x:c r="C7" s="2" t="str">
        <x:v>次</x:v>
      </x:c>
      <x:c r="D7" s="2" t="str">
        <x:v>从0能量开始，向上取整</x:v>
      </x:c>
    </x:row>
    <x:row r="8" ht="36" customHeight="1">
      <x:c r="A8" s="2" t="str">
        <x:v>满蓄完整动作时长</x:v>
      </x:c>
      <x:c r="B8" s="14" t="n">
        <x:f>('动作'!C5+'参数'!C10+'动作'!C7)/'参数'!C2</x:f>
        <x:v>1.9</x:v>
      </x:c>
      <x:c r="C8" s="2" t="str">
        <x:v>s</x:v>
      </x:c>
      <x:c r="D8" s="2" t="str">
        <x:v>准备+蓄力+重射总长</x:v>
      </x:c>
    </x:row>
    <x:row r="9" ht="36" customHeight="1">
      <x:c r="A9" s="2" t="str">
        <x:v>未蓄力重射</x:v>
      </x:c>
      <x:c r="B9" s="13" t="n">
        <x:f>'参数'!C11</x:f>
        <x:v>80</x:v>
      </x:c>
      <x:c r="C9" s="2" t="str">
        <x:v>点</x:v>
      </x:c>
      <x:c r="D9" s="2" t="str">
        <x:v>一次击发，仍消耗100能量</x:v>
      </x:c>
    </x:row>
    <x:row r="10" ht="36" customHeight="1">
      <x:c r="A10" s="2" t="str">
        <x:v>满蓄重射</x:v>
      </x:c>
      <x:c r="B10" s="13" t="n">
        <x:f>'参数'!C12</x:f>
        <x:v>240</x:v>
      </x:c>
      <x:c r="C10" s="2" t="str">
        <x:v>点</x:v>
      </x:c>
      <x:c r="D10" s="2" t="str">
        <x:v>一次击发，不计弱点</x:v>
      </x:c>
    </x:row>
    <x:row r="11" ht="36" customHeight="1">
      <x:c r="A11" s="2" t="str">
        <x:v>闪避无敌时长</x:v>
      </x:c>
      <x:c r="B11" s="13" t="n">
        <x:f>'参数'!C21-'参数'!C20+1</x:f>
        <x:v>9</x:v>
      </x:c>
      <x:c r="C11" s="2" t="str">
        <x:v>F</x:v>
      </x:c>
      <x:c r="D11" s="2" t="str">
        <x:v>包含首尾两端</x:v>
      </x:c>
    </x:row>
    <x:row r="12" ht="36" customHeight="1">
      <x:c r="A12" s="2" t="str">
        <x:v>蓄力示例时间</x:v>
      </x:c>
      <x:c r="B12" s="11" t="n">
        <x:v>30</x:v>
      </x:c>
      <x:c r="C12" s="2" t="str">
        <x:v>F</x:v>
      </x:c>
      <x:c r="D12" s="2" t="str">
        <x:v>可编辑；限制0至满蓄，超出值被封顶</x:v>
      </x:c>
    </x:row>
    <x:row r="13" ht="36" customHeight="1">
      <x:c r="A13" s="2" t="str">
        <x:v>示例重射伤害</x:v>
      </x:c>
      <x:c r="B13" s="13" t="n">
        <x:f>'参数'!C11+('参数'!C12-'参数'!C11)*MIN(MAX(B12,0),'参数'!C10)/'参数'!C10</x:f>
        <x:v>160</x:v>
      </x:c>
      <x:c r="C13" s="2" t="str">
        <x:v>点</x:v>
      </x:c>
      <x:c r="D13" s="2" t="str">
        <x:v>按线性蓄力公式计算</x:v>
      </x:c>
    </x:row>
    <x:row r="14" ht="36" customHeight="1">
      <x:c r="A14" s="2" t="str">
        <x:v>数据状态</x:v>
      </x:c>
      <x:c r="B14" s="2" t="str">
        <x:v>设计初值</x:v>
      </x:c>
      <x:c r="C14" s="2" t="str"/>
      <x:c r="D14" s="2" t="str">
        <x:v>试算不代表平衡性或实机测试结果</x:v>
      </x:c>
    </x:row>
  </x:sheetData>
  <x:dataValidations count="1">
    <x:dataValidation type="whole" operator="between" sqref="B12">
      <x:formula1>0</x:formula1>
      <x:formula2>60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32" hidden="0" customWidth="1"/>
    <x:col min="10" max="10" width="42" hidden="0" customWidth="1"/>
  </x:cols>
  <x:sheetData>
    <x:row r="1" ht="32" customHeight="1">
      <x:c r="A1" s="5" t="str">
        <x:v>敌人ID</x:v>
      </x:c>
      <x:c r="B1" s="5" t="str">
        <x:v>名称</x:v>
      </x:c>
      <x:c r="C1" s="5" t="str">
        <x:v>生命</x:v>
      </x:c>
      <x:c r="D1" s="5" t="str">
        <x:v>前摇 F</x:v>
      </x:c>
      <x:c r="E1" s="5" t="str">
        <x:v>判定起 F</x:v>
      </x:c>
      <x:c r="F1" s="5" t="str">
        <x:v>判定止 F</x:v>
      </x:c>
      <x:c r="G1" s="5" t="str">
        <x:v>后摇 F</x:v>
      </x:c>
      <x:c r="H1" s="5" t="str">
        <x:v>伤害</x:v>
      </x:c>
      <x:c r="I1" s="5" t="str">
        <x:v>应对</x:v>
      </x:c>
      <x:c r="J1" s="5" t="str">
        <x:v>特殊规则</x:v>
      </x:c>
    </x:row>
    <x:row r="2" ht="32" customHeight="1">
      <x:c r="A2" s="2" t="str">
        <x:v>E_RANGED</x:v>
      </x:c>
      <x:c r="B2" s="2" t="str">
        <x:v>远程兵</x:v>
      </x:c>
      <x:c r="C2" s="2" t="n">
        <x:v>80</x:v>
      </x:c>
      <x:c r="D2" s="2" t="n">
        <x:v>30</x:v>
      </x:c>
      <x:c r="E2" s="2" t="n">
        <x:v>31</x:v>
      </x:c>
      <x:c r="F2" s="2" t="n">
        <x:v>31</x:v>
      </x:c>
      <x:c r="G2" s="2" t="n">
        <x:v>90</x:v>
      </x:c>
      <x:c r="H2" s="2" t="n">
        <x:v>10</x:v>
      </x:c>
      <x:c r="I2" s="2" t="str">
        <x:v>侧移或掩体</x:v>
      </x:c>
      <x:c r="J2" s="2" t="str">
        <x:v>预警结束锁定落点</x:v>
      </x:c>
    </x:row>
    <x:row r="3" ht="32" customHeight="1">
      <x:c r="A3" s="2" t="str">
        <x:v>E_RUSH</x:v>
      </x:c>
      <x:c r="B3" s="2" t="str">
        <x:v>近战兵</x:v>
      </x:c>
      <x:c r="C3" s="2" t="n">
        <x:v>60</x:v>
      </x:c>
      <x:c r="D3" s="2" t="n">
        <x:v>36</x:v>
      </x:c>
      <x:c r="E3" s="2" t="n">
        <x:v>37</x:v>
      </x:c>
      <x:c r="F3" s="2" t="n">
        <x:v>42</x:v>
      </x:c>
      <x:c r="G3" s="2" t="n">
        <x:v>48</x:v>
      </x:c>
      <x:c r="H3" s="2" t="n">
        <x:v>15</x:v>
      </x:c>
      <x:c r="I3" s="2" t="str">
        <x:v>侧闪、射杀或近击</x:v>
      </x:c>
      <x:c r="J3" s="2" t="str">
        <x:v>冲刺锁方向，碰墙停止</x:v>
      </x:c>
    </x:row>
    <x:row r="4" ht="32" customHeight="1">
      <x:c r="A4" s="2" t="str">
        <x:v>E_ARMOR</x:v>
      </x:c>
      <x:c r="B4" s="2" t="str">
        <x:v>装甲兵</x:v>
      </x:c>
      <x:c r="C4" s="2" t="n">
        <x:v>160</x:v>
      </x:c>
      <x:c r="D4" s="2" t="n">
        <x:v>48</x:v>
      </x:c>
      <x:c r="E4" s="2" t="n">
        <x:v>49</x:v>
      </x:c>
      <x:c r="F4" s="2" t="n">
        <x:v>49</x:v>
      </x:c>
      <x:c r="G4" s="2" t="n">
        <x:v>120</x:v>
      </x:c>
      <x:c r="H4" s="2" t="n">
        <x:v>20</x:v>
      </x:c>
      <x:c r="I4" s="2" t="str">
        <x:v>等待恢复期弱点</x:v>
      </x:c>
      <x:c r="J4" s="2" t="str">
        <x:v>本体0.5倍；露出弱点1.5倍</x:v>
      </x:c>
    </x:row>
  </x:sheetData>
  <x:pageMargins left="0.7" right="0.7" top="0.75" bottom="0.75" header="0.3" footer="0.3"/>
  <x:tableParts count="1">
    <x:tablePart xmlns:r="http://schemas.openxmlformats.org/officeDocument/2006/relationships" r:id="R3d9203d7635b410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0" hidden="0" customWidth="1"/>
    <x:col min="4" max="4" width="44" hidden="0" customWidth="1"/>
    <x:col min="5" max="5" width="65" hidden="0" customWidth="1"/>
    <x:col min="6" max="6" width="16" hidden="0" customWidth="1"/>
    <x:col min="7" max="7" width="18" hidden="0" customWidth="1"/>
    <x:col min="8" max="8" width="44" hidden="0" customWidth="1"/>
    <x:col min="9" max="9" width="38" hidden="0" customWidth="1"/>
  </x:cols>
  <x:sheetData>
    <x:row r="1" ht="34" customHeight="1">
      <x:c r="A1" s="8" t="str">
        <x:v>用例ID</x:v>
      </x:c>
      <x:c r="B1" s="8" t="str">
        <x:v>检查项</x:v>
      </x:c>
      <x:c r="C1" s="8" t="str">
        <x:v>前置条件</x:v>
      </x:c>
      <x:c r="D1" s="8" t="str">
        <x:v>操作</x:v>
      </x:c>
      <x:c r="E1" s="8" t="str">
        <x:v>预期结果</x:v>
      </x:c>
      <x:c r="F1" s="8" t="str">
        <x:v>执行状态</x:v>
      </x:c>
      <x:c r="G1" s="8" t="str">
        <x:v>构建版本</x:v>
      </x:c>
      <x:c r="H1" s="8" t="str">
        <x:v>实际结果</x:v>
      </x:c>
      <x:c r="I1" s="8" t="str">
        <x:v>证据</x:v>
      </x:c>
    </x:row>
    <x:row r="2" ht="54" customHeight="1">
      <x:c r="A2" s="9" t="str">
        <x:v>T01</x:v>
      </x:c>
      <x:c r="B2" s="9" t="str">
        <x:v>射击扣弹</x:v>
      </x:c>
      <x:c r="C2" s="9" t="str">
        <x:v>步枪30发</x:v>
      </x:c>
      <x:c r="D2" s="9" t="str">
        <x:v>点按一次左键</x:v>
      </x:c>
      <x:c r="E2" s="9" t="str">
        <x:v>F3扣1发；单一攻击实例；F12结束</x:v>
      </x:c>
      <x:c r="F2" s="9" t="str">
        <x:v>待执行</x:v>
      </x:c>
      <x:c r="G2" s="9" t="str"/>
      <x:c r="H2" s="9" t="str"/>
      <x:c r="I2" s="9" t="str"/>
    </x:row>
    <x:row r="3" ht="54" customHeight="1">
      <x:c r="A3" s="9" t="str">
        <x:v>T02</x:v>
      </x:c>
      <x:c r="B3" s="9" t="str">
        <x:v>持续射击</x:v>
      </x:c>
      <x:c r="C3" s="9" t="str">
        <x:v>弹匣充足</x:v>
      </x:c>
      <x:c r="D3" s="9" t="str">
        <x:v>按住左键跨过两个射击周期</x:v>
      </x:c>
      <x:c r="E3" s="9" t="str">
        <x:v>击发间隔12F；不因按住帧数生成额外事件</x:v>
      </x:c>
      <x:c r="F3" s="9" t="str">
        <x:v>待执行</x:v>
      </x:c>
      <x:c r="G3" s="9" t="str"/>
      <x:c r="H3" s="9" t="str"/>
      <x:c r="I3" s="9" t="str"/>
    </x:row>
    <x:row r="4" ht="54" customHeight="1">
      <x:c r="A4" s="9" t="str">
        <x:v>T03</x:v>
      </x:c>
      <x:c r="B4" s="9" t="str">
        <x:v>空弹换弹</x:v>
      </x:c>
      <x:c r="C4" s="9" t="str">
        <x:v>步枪0发</x:v>
      </x:c>
      <x:c r="D4" s="9" t="str">
        <x:v>新按或持续按住左键</x:v>
      </x:c>
      <x:c r="E4" s="9" t="str">
        <x:v>进入一次换弹；F66前不补弹</x:v>
      </x:c>
      <x:c r="F4" s="9" t="str">
        <x:v>待执行</x:v>
      </x:c>
      <x:c r="G4" s="9" t="str"/>
      <x:c r="H4" s="9" t="str"/>
      <x:c r="I4" s="9" t="str"/>
    </x:row>
    <x:row r="5" ht="54" customHeight="1">
      <x:c r="A5" s="9" t="str">
        <x:v>T04</x:v>
      </x:c>
      <x:c r="B5" s="9" t="str">
        <x:v>满弹拒绝</x:v>
      </x:c>
      <x:c r="C5" s="9" t="str">
        <x:v>弹匣30发</x:v>
      </x:c>
      <x:c r="D5" s="9" t="str">
        <x:v>按R</x:v>
      </x:c>
      <x:c r="E5" s="9" t="str">
        <x:v>不进入换弹；不保留换弹请求</x:v>
      </x:c>
      <x:c r="F5" s="9" t="str">
        <x:v>待执行</x:v>
      </x:c>
      <x:c r="G5" s="9" t="str"/>
      <x:c r="H5" s="9" t="str"/>
      <x:c r="I5" s="9" t="str"/>
    </x:row>
    <x:row r="6" ht="54" customHeight="1">
      <x:c r="A6" s="9" t="str">
        <x:v>T05</x:v>
      </x:c>
      <x:c r="B6" s="9" t="str">
        <x:v>补弹前取消</x:v>
      </x:c>
      <x:c r="C6" s="9" t="str">
        <x:v>换弹F65</x:v>
      </x:c>
      <x:c r="D6" s="9" t="str">
        <x:v>合法闪避</x:v>
      </x:c>
      <x:c r="E6" s="9" t="str">
        <x:v>保留旧弹药；重开从F1</x:v>
      </x:c>
      <x:c r="F6" s="9" t="str">
        <x:v>待执行</x:v>
      </x:c>
      <x:c r="G6" s="9" t="str"/>
      <x:c r="H6" s="9" t="str"/>
      <x:c r="I6" s="9" t="str"/>
    </x:row>
    <x:row r="7" ht="54" customHeight="1">
      <x:c r="A7" s="9" t="str">
        <x:v>T06</x:v>
      </x:c>
      <x:c r="B7" s="9" t="str">
        <x:v>补弹同帧取消</x:v>
      </x:c>
      <x:c r="C7" s="9" t="str">
        <x:v>换弹F66且闪避可用</x:v>
      </x:c>
      <x:c r="D7" s="9" t="str">
        <x:v>该步输入Shift</x:v>
      </x:c>
      <x:c r="E7" s="9" t="str">
        <x:v>闪避优先；该次不补弹</x:v>
      </x:c>
      <x:c r="F7" s="9" t="str">
        <x:v>待执行</x:v>
      </x:c>
      <x:c r="G7" s="9" t="str"/>
      <x:c r="H7" s="9" t="str"/>
      <x:c r="I7" s="9" t="str"/>
    </x:row>
    <x:row r="8" ht="54" customHeight="1">
      <x:c r="A8" s="9" t="str">
        <x:v>T07</x:v>
      </x:c>
      <x:c r="B8" s="9" t="str">
        <x:v>补弹后取消</x:v>
      </x:c>
      <x:c r="C8" s="9" t="str">
        <x:v>F66已补满</x:v>
      </x:c>
      <x:c r="D8" s="9" t="str">
        <x:v>F67闪避</x:v>
      </x:c>
      <x:c r="E8" s="9" t="str">
        <x:v>保留已补弹药；不再补第二次</x:v>
      </x:c>
      <x:c r="F8" s="9" t="str">
        <x:v>待执行</x:v>
      </x:c>
      <x:c r="G8" s="9" t="str"/>
      <x:c r="H8" s="9" t="str"/>
      <x:c r="I8" s="9" t="str"/>
    </x:row>
    <x:row r="9" ht="54" customHeight="1">
      <x:c r="A9" s="9" t="str">
        <x:v>T08</x:v>
      </x:c>
      <x:c r="B9" s="9" t="str">
        <x:v>命中回能去重</x:v>
      </x:c>
      <x:c r="C9" s="9" t="str">
        <x:v>能量0，敌人部位重叠</x:v>
      </x:c>
      <x:c r="D9" s="9" t="str">
        <x:v>步枪一发造成伤害</x:v>
      </x:c>
      <x:c r="E9" s="9" t="str">
        <x:v>一次伤害与2点能量</x:v>
      </x:c>
      <x:c r="F9" s="9" t="str">
        <x:v>待执行</x:v>
      </x:c>
      <x:c r="G9" s="9" t="str"/>
      <x:c r="H9" s="9" t="str"/>
      <x:c r="I9" s="9" t="str"/>
    </x:row>
    <x:row r="10" ht="54" customHeight="1">
      <x:c r="A10" s="9" t="str">
        <x:v>T09</x:v>
      </x:c>
      <x:c r="B10" s="9" t="str">
        <x:v>无效命中</x:v>
      </x:c>
      <x:c r="C10" s="9" t="str">
        <x:v>能量0</x:v>
      </x:c>
      <x:c r="D10" s="9" t="str">
        <x:v>射墙/无敌目标/未命中</x:v>
      </x:c>
      <x:c r="E10" s="9" t="str">
        <x:v>能量不增长</x:v>
      </x:c>
      <x:c r="F10" s="9" t="str">
        <x:v>待执行</x:v>
      </x:c>
      <x:c r="G10" s="9" t="str"/>
      <x:c r="H10" s="9" t="str"/>
      <x:c r="I10" s="9" t="str"/>
    </x:row>
    <x:row r="11" ht="54" customHeight="1">
      <x:c r="A11" s="9" t="str">
        <x:v>T10</x:v>
      </x:c>
      <x:c r="B11" s="9" t="str">
        <x:v>能量封顶</x:v>
      </x:c>
      <x:c r="C11" s="9" t="str">
        <x:v>能量99</x:v>
      </x:c>
      <x:c r="D11" s="9" t="str">
        <x:v>步枪有效命中</x:v>
      </x:c>
      <x:c r="E11" s="9" t="str">
        <x:v>封顶100，不溢出</x:v>
      </x:c>
      <x:c r="F11" s="9" t="str">
        <x:v>待执行</x:v>
      </x:c>
      <x:c r="G11" s="9" t="str"/>
      <x:c r="H11" s="9" t="str"/>
      <x:c r="I11" s="9" t="str"/>
    </x:row>
    <x:row r="12" ht="54" customHeight="1">
      <x:c r="A12" s="9" t="str">
        <x:v>T11</x:v>
      </x:c>
      <x:c r="B12" s="9" t="str">
        <x:v>切换条件</x:v>
      </x:c>
      <x:c r="C12" s="9" t="str">
        <x:v>能量99</x:v>
      </x:c>
      <x:c r="D12" s="9" t="str">
        <x:v>按Q</x:v>
      </x:c>
      <x:c r="E12" s="9" t="str">
        <x:v>拒绝；不缓存到满能后自动切换</x:v>
      </x:c>
      <x:c r="F12" s="9" t="str">
        <x:v>待执行</x:v>
      </x:c>
      <x:c r="G12" s="9" t="str"/>
      <x:c r="H12" s="9" t="str"/>
      <x:c r="I12" s="9" t="str"/>
    </x:row>
    <x:row r="13" ht="54" customHeight="1">
      <x:c r="A13" s="9" t="str">
        <x:v>T12</x:v>
      </x:c>
      <x:c r="B13" s="9" t="str">
        <x:v>按住左键切换</x:v>
      </x:c>
      <x:c r="C13" s="9" t="str">
        <x:v>能量100且持续步枪开火</x:v>
      </x:c>
      <x:c r="D13" s="9" t="str">
        <x:v>按Q后松开左键</x:v>
      </x:c>
      <x:c r="E13" s="9" t="str">
        <x:v>不误发重射；须重新按下再松开</x:v>
      </x:c>
      <x:c r="F13" s="9" t="str">
        <x:v>待执行</x:v>
      </x:c>
      <x:c r="G13" s="9" t="str"/>
      <x:c r="H13" s="9" t="str"/>
      <x:c r="I13" s="9" t="str"/>
    </x:row>
    <x:row r="14" ht="54" customHeight="1">
      <x:c r="A14" s="9" t="str">
        <x:v>T13</x:v>
      </x:c>
      <x:c r="B14" s="9" t="str">
        <x:v>提前重射</x:v>
      </x:c>
      <x:c r="C14" s="9" t="str">
        <x:v>能量100，已进入重武器</x:v>
      </x:c>
      <x:c r="D14" s="9" t="str">
        <x:v>蓄力30F后松开</x:v>
      </x:c>
      <x:c r="E14" s="9" t="str">
        <x:v>F6扣100并造成160基础伤害</x:v>
      </x:c>
      <x:c r="F14" s="9" t="str">
        <x:v>待执行</x:v>
      </x:c>
      <x:c r="G14" s="9" t="str"/>
      <x:c r="H14" s="9" t="str"/>
      <x:c r="I14" s="9" t="str"/>
    </x:row>
    <x:row r="15" ht="54" customHeight="1">
      <x:c r="A15" s="9" t="str">
        <x:v>T14</x:v>
      </x:c>
      <x:c r="B15" s="9" t="str">
        <x:v>满蓄封顶</x:v>
      </x:c>
      <x:c r="C15" s="9" t="str">
        <x:v>能量100</x:v>
      </x:c>
      <x:c r="D15" s="9" t="str">
        <x:v>蓄力超过60F再松开</x:v>
      </x:c>
      <x:c r="E15" s="9" t="str">
        <x:v>基础伤害240；不自动发射</x:v>
      </x:c>
      <x:c r="F15" s="9" t="str">
        <x:v>待执行</x:v>
      </x:c>
      <x:c r="G15" s="9" t="str"/>
      <x:c r="H15" s="9" t="str"/>
      <x:c r="I15" s="9" t="str"/>
    </x:row>
    <x:row r="16" ht="54" customHeight="1">
      <x:c r="A16" s="9" t="str">
        <x:v>T15</x:v>
      </x:c>
      <x:c r="B16" s="9" t="str">
        <x:v>击发前撤离</x:v>
      </x:c>
      <x:c r="C16" s="9" t="str">
        <x:v>进入重射但未到F6</x:v>
      </x:c>
      <x:c r="D16" s="9" t="str">
        <x:v>F5输入合法闪避</x:v>
      </x:c>
      <x:c r="E16" s="9" t="str">
        <x:v>不扣能量、不生成攻击；清空蓄力</x:v>
      </x:c>
      <x:c r="F16" s="9" t="str">
        <x:v>待执行</x:v>
      </x:c>
      <x:c r="G16" s="9" t="str"/>
      <x:c r="H16" s="9" t="str"/>
      <x:c r="I16" s="9" t="str"/>
    </x:row>
    <x:row r="17" ht="54" customHeight="1">
      <x:c r="A17" s="9" t="str">
        <x:v>T16</x:v>
      </x:c>
      <x:c r="B17" s="9" t="str">
        <x:v>击发同帧撤离</x:v>
      </x:c>
      <x:c r="C17" s="9" t="str">
        <x:v>重射F6且闪避可用</x:v>
      </x:c>
      <x:c r="D17" s="9" t="str">
        <x:v>该步输入Shift</x:v>
      </x:c>
      <x:c r="E17" s="9" t="str">
        <x:v>闪避先处理；无攻击、无扣能</x:v>
      </x:c>
      <x:c r="F17" s="9" t="str">
        <x:v>待执行</x:v>
      </x:c>
      <x:c r="G17" s="9" t="str"/>
      <x:c r="H17" s="9" t="str"/>
      <x:c r="I17" s="9" t="str"/>
    </x:row>
    <x:row r="18" ht="54" customHeight="1">
      <x:c r="A18" s="9" t="str">
        <x:v>T17</x:v>
      </x:c>
      <x:c r="B18" s="9" t="str">
        <x:v>击发后锁定段</x:v>
      </x:c>
      <x:c r="C18" s="9" t="str">
        <x:v>F6已击发</x:v>
      </x:c>
      <x:c r="D18" s="9" t="str">
        <x:v>F7输入Shift，持续观察到F19</x:v>
      </x:c>
      <x:c r="E18" s="9" t="str">
        <x:v>F7不取消；6F缓冲到F12失效；F19不自动闪避</x:v>
      </x:c>
      <x:c r="F18" s="9" t="str">
        <x:v>待执行</x:v>
      </x:c>
      <x:c r="G18" s="9" t="str"/>
      <x:c r="H18" s="9" t="str"/>
      <x:c r="I18" s="9" t="str"/>
    </x:row>
    <x:row r="19" ht="54" customHeight="1">
      <x:c r="A19" s="9" t="str">
        <x:v>T18</x:v>
      </x:c>
      <x:c r="B19" s="9" t="str">
        <x:v>重射后摇撤离</x:v>
      </x:c>
      <x:c r="C19" s="9" t="str">
        <x:v>F6已击发且能量0</x:v>
      </x:c>
      <x:c r="D19" s="9" t="str">
        <x:v>F19输入Shift</x:v>
      </x:c>
      <x:c r="E19" s="9" t="str">
        <x:v>执行闪避；不返还能量；不重复伤害</x:v>
      </x:c>
      <x:c r="F19" s="9" t="str">
        <x:v>待执行</x:v>
      </x:c>
      <x:c r="G19" s="9" t="str"/>
      <x:c r="H19" s="9" t="str"/>
      <x:c r="I19" s="9" t="str"/>
    </x:row>
    <x:row r="20" ht="54" customHeight="1">
      <x:c r="A20" s="9" t="str">
        <x:v>T19</x:v>
      </x:c>
      <x:c r="B20" s="9" t="str">
        <x:v>多目标贯穿</x:v>
      </x:c>
      <x:c r="C20" s="9" t="str">
        <x:v>四个有效目标同线，无墙</x:v>
      </x:c>
      <x:c r="D20" s="9" t="str">
        <x:v>满蓄重射</x:v>
      </x:c>
      <x:c r="E20" s="9" t="str">
        <x:v>最近三个不同目标各结算一次；第四个不命中</x:v>
      </x:c>
      <x:c r="F20" s="9" t="str">
        <x:v>待执行</x:v>
      </x:c>
      <x:c r="G20" s="9" t="str"/>
      <x:c r="H20" s="9" t="str"/>
      <x:c r="I20" s="9" t="str"/>
    </x:row>
    <x:row r="21" ht="54" customHeight="1">
      <x:c r="A21" s="9" t="str">
        <x:v>T20</x:v>
      </x:c>
      <x:c r="B21" s="9" t="str">
        <x:v>墙后目标</x:v>
      </x:c>
      <x:c r="C21" s="9" t="str">
        <x:v>目标在线上实体墙后</x:v>
      </x:c>
      <x:c r="D21" s="9" t="str">
        <x:v>射击/重射</x:v>
      </x:c>
      <x:c r="E21" s="9" t="str">
        <x:v>墙阻断目标；枪口受挡显示符号</x:v>
      </x:c>
      <x:c r="F21" s="9" t="str">
        <x:v>待执行</x:v>
      </x:c>
      <x:c r="G21" s="9" t="str"/>
      <x:c r="H21" s="9" t="str"/>
      <x:c r="I21" s="9" t="str"/>
    </x:row>
    <x:row r="22" ht="54" customHeight="1">
      <x:c r="A22" s="9" t="str">
        <x:v>T21</x:v>
      </x:c>
      <x:c r="B22" s="9" t="str">
        <x:v>近击去重</x:v>
      </x:c>
      <x:c r="C22" s="9" t="str">
        <x:v>轻型敌人在1.8m内</x:v>
      </x:c>
      <x:c r="D22" s="9" t="str">
        <x:v>F13–F15持续接触</x:v>
      </x:c>
      <x:c r="E22" s="9" t="str">
        <x:v>仅一次5伤害、24F硬直和1.5m推退</x:v>
      </x:c>
      <x:c r="F22" s="9" t="str">
        <x:v>待执行</x:v>
      </x:c>
      <x:c r="G22" s="9" t="str"/>
      <x:c r="H22" s="9" t="str"/>
      <x:c r="I22" s="9" t="str"/>
    </x:row>
    <x:row r="23" ht="54" customHeight="1">
      <x:c r="A23" s="9" t="str">
        <x:v>T22</x:v>
      </x:c>
      <x:c r="B23" s="9" t="str">
        <x:v>装甲反馈</x:v>
      </x:c>
      <x:c r="C23" s="9" t="str">
        <x:v>装甲敌人弱点未暴露</x:v>
      </x:c>
      <x:c r="D23" s="9" t="str">
        <x:v>近击封闭本体</x:v>
      </x:c>
      <x:c r="E23" s="9" t="str">
        <x:v>2.5伤害，不打断；有硬质反馈</x:v>
      </x:c>
      <x:c r="F23" s="9" t="str">
        <x:v>待执行</x:v>
      </x:c>
      <x:c r="G23" s="9" t="str"/>
      <x:c r="H23" s="9" t="str"/>
      <x:c r="I23" s="9" t="str"/>
    </x:row>
    <x:row r="24" ht="54" customHeight="1">
      <x:c r="A24" s="9" t="str">
        <x:v>T23</x:v>
      </x:c>
      <x:c r="B24" s="9" t="str">
        <x:v>闪避边界</x:v>
      </x:c>
      <x:c r="C24" s="9" t="str">
        <x:v>冷却可用</x:v>
      </x:c>
      <x:c r="D24" s="9" t="str">
        <x:v>分别在F3/F4/F12/F13安排命中</x:v>
      </x:c>
      <x:c r="E24" s="9" t="str">
        <x:v>F3/F13受伤；F4/F12不受伤</x:v>
      </x:c>
      <x:c r="F24" s="9" t="str">
        <x:v>待执行</x:v>
      </x:c>
      <x:c r="G24" s="9" t="str"/>
      <x:c r="H24" s="9" t="str"/>
      <x:c r="I24" s="9" t="str"/>
    </x:row>
    <x:row r="25" ht="54" customHeight="1">
      <x:c r="A25" s="9" t="str">
        <x:v>T24</x:v>
      </x:c>
      <x:c r="B25" s="9" t="str">
        <x:v>闪避冷却</x:v>
      </x:c>
      <x:c r="C25" s="9" t="str">
        <x:v>已在逻辑步t开始闪避</x:v>
      </x:c>
      <x:c r="D25" s="9" t="str">
        <x:v>t+47与t+48各申请一次</x:v>
      </x:c>
      <x:c r="E25" s="9" t="str">
        <x:v>t+47拒绝；t+48可执行；不叠加位移</x:v>
      </x:c>
      <x:c r="F25" s="9" t="str">
        <x:v>待执行</x:v>
      </x:c>
      <x:c r="G25" s="9" t="str"/>
      <x:c r="H25" s="9" t="str"/>
      <x:c r="I25" s="9" t="str"/>
    </x:row>
    <x:row r="26" ht="54" customHeight="1">
      <x:c r="A26" s="9" t="str">
        <x:v>T25</x:v>
      </x:c>
      <x:c r="B26" s="9" t="str">
        <x:v>缓冲过期</x:v>
      </x:c>
      <x:c r="C26" s="9" t="str">
        <x:v>动作即将开放取消</x:v>
      </x:c>
      <x:c r="D26" s="9" t="str">
        <x:v>分别提前6F与7F输入闪避</x:v>
      </x:c>
      <x:c r="E26" s="9" t="str">
        <x:v>计入当前步，第6步可执行，第7步失效</x:v>
      </x:c>
      <x:c r="F26" s="9" t="str">
        <x:v>待执行</x:v>
      </x:c>
      <x:c r="G26" s="9" t="str"/>
      <x:c r="H26" s="9" t="str"/>
      <x:c r="I26" s="9" t="str"/>
    </x:row>
    <x:row r="27" ht="54" customHeight="1">
      <x:c r="A27" s="9" t="str">
        <x:v>T26</x:v>
      </x:c>
      <x:c r="B27" s="9" t="str">
        <x:v>受击优先</x:v>
      </x:c>
      <x:c r="C27" s="9" t="str">
        <x:v>角色射击F3或重射F6</x:v>
      </x:c>
      <x:c r="D27" s="9" t="str">
        <x:v>同一步外部命中且无保护</x:v>
      </x:c>
      <x:c r="E27" s="9" t="str">
        <x:v>受击撤销未发事件；不扣对应资源</x:v>
      </x:c>
      <x:c r="F27" s="9" t="str">
        <x:v>待执行</x:v>
      </x:c>
      <x:c r="G27" s="9" t="str"/>
      <x:c r="H27" s="9" t="str"/>
      <x:c r="I27" s="9" t="str"/>
    </x:row>
    <x:row r="28" ht="54" customHeight="1">
      <x:c r="A28" s="9" t="str">
        <x:v>T27</x:v>
      </x:c>
      <x:c r="B28" s="9" t="str">
        <x:v>受击保护</x:v>
      </x:c>
      <x:c r="C28" s="9" t="str">
        <x:v>正常受伤一次</x:v>
      </x:c>
      <x:c r="D28" s="9" t="str">
        <x:v>30F内重复接触攻击</x:v>
      </x:c>
      <x:c r="E28" s="9" t="str">
        <x:v>不重复扣血，不刷新保护时间</x:v>
      </x:c>
      <x:c r="F28" s="9" t="str">
        <x:v>待执行</x:v>
      </x:c>
      <x:c r="G28" s="9" t="str"/>
      <x:c r="H28" s="9" t="str"/>
      <x:c r="I28" s="9" t="str"/>
    </x:row>
    <x:row r="29" ht="54" customHeight="1">
      <x:c r="A29" s="9" t="str">
        <x:v>T28</x:v>
      </x:c>
      <x:c r="B29" s="9" t="str">
        <x:v>死亡清理</x:v>
      </x:c>
      <x:c r="C29" s="9" t="str">
        <x:v>生命将归零，存在蓄力/缓冲</x:v>
      </x:c>
      <x:c r="D29" s="9" t="str">
        <x:v>致命伤</x:v>
      </x:c>
      <x:c r="E29" s="9" t="str">
        <x:v>无后续攻击、补弹、回能；待执行意图清空</x:v>
      </x:c>
      <x:c r="F29" s="9" t="str">
        <x:v>待执行</x:v>
      </x:c>
      <x:c r="G29" s="9" t="str"/>
      <x:c r="H29" s="9" t="str"/>
      <x:c r="I29" s="9" t="str"/>
    </x:row>
    <x:row r="30" ht="54" customHeight="1">
      <x:c r="A30" s="9" t="str">
        <x:v>T29</x:v>
      </x:c>
      <x:c r="B30" s="9" t="str">
        <x:v>暂停恢复</x:v>
      </x:c>
      <x:c r="C30" s="9" t="str">
        <x:v>蓄力与敌人前摇进行中</x:v>
      </x:c>
      <x:c r="D30" s="9" t="str">
        <x:v>切出窗口并恢复</x:v>
      </x:c>
      <x:c r="E30" s="9" t="str">
        <x:v>计时冻结；无补发；左键需重新按下才能重射</x:v>
      </x:c>
      <x:c r="F30" s="9" t="str">
        <x:v>待执行</x:v>
      </x:c>
      <x:c r="G30" s="9" t="str"/>
      <x:c r="H30" s="9" t="str"/>
      <x:c r="I30" s="9" t="str"/>
    </x:row>
    <x:row r="31" ht="54" customHeight="1">
      <x:c r="A31" s="9" t="str">
        <x:v>T30</x:v>
      </x:c>
      <x:c r="B31" s="9" t="str">
        <x:v>事件重入</x:v>
      </x:c>
      <x:c r="C31" s="9" t="str">
        <x:v>已有发射或补弹事件完成</x:v>
      </x:c>
      <x:c r="D31" s="9" t="str">
        <x:v>模拟动画跳播/过渡重入</x:v>
      </x:c>
      <x:c r="E31" s="9" t="str">
        <x:v>逻辑事件不再提交第二次</x:v>
      </x:c>
      <x:c r="F31" s="9" t="str">
        <x:v>待执行</x:v>
      </x:c>
      <x:c r="G31" s="9" t="str"/>
      <x:c r="H31" s="9" t="str"/>
      <x:c r="I31" s="9" t="str"/>
    </x:row>
    <x:row r="32" ht="54" customHeight="1">
      <x:c r="A32" s="9" t="str">
        <x:v>T31</x:v>
      </x:c>
      <x:c r="B32" s="9" t="str">
        <x:v>敌人权限</x:v>
      </x:c>
      <x:c r="C32" s="9" t="str">
        <x:v>三类敌人同时在场</x:v>
      </x:c>
      <x:c r="D32" s="9" t="str">
        <x:v>连续观察攻击申请</x:v>
      </x:c>
      <x:c r="E32" s="9" t="str">
        <x:v>仅一个进入前摇至恢复；死亡/打断归还</x:v>
      </x:c>
      <x:c r="F32" s="9" t="str">
        <x:v>待执行</x:v>
      </x:c>
      <x:c r="G32" s="9" t="str"/>
      <x:c r="H32" s="9" t="str"/>
      <x:c r="I32" s="9" t="str"/>
    </x:row>
    <x:row r="33" ht="54" customHeight="1">
      <x:c r="A33" s="9" t="str">
        <x:v>T32</x:v>
      </x:c>
      <x:c r="B33" s="9" t="str">
        <x:v>弱点边界</x:v>
      </x:c>
      <x:c r="C33" s="9" t="str">
        <x:v>装甲敌人结束攻击进入恢复</x:v>
      </x:c>
      <x:c r="D33" s="9" t="str">
        <x:v>命中弱点与本体</x:v>
      </x:c>
      <x:c r="E33" s="9" t="str">
        <x:v>按区域分别1.5/0.5倍率；不相乘</x:v>
      </x:c>
      <x:c r="F33" s="9" t="str">
        <x:v>待执行</x:v>
      </x:c>
      <x:c r="G33" s="9" t="str"/>
      <x:c r="H33" s="9" t="str"/>
      <x:c r="I33" s="9" t="str"/>
    </x:row>
    <x:row r="34" ht="54" customHeight="1">
      <x:c r="A34" s="9" t="str">
        <x:v>T33</x:v>
      </x:c>
      <x:c r="B34" s="9" t="str">
        <x:v>镜头与设置</x:v>
      </x:c>
      <x:c r="C34" s="9" t="str">
        <x:v>墙边、宽屏及低闪烁</x:v>
      </x:c>
      <x:c r="D34" s="9" t="str">
        <x:v>精瞄/重射/关闭震动</x:v>
      </x:c>
      <x:c r="E34" s="9" t="str">
        <x:v>无穿墙命中；提示可读；朝向连续</x:v>
      </x:c>
      <x:c r="F34" s="9" t="str">
        <x:v>待执行</x:v>
      </x:c>
      <x:c r="G34" s="9" t="str"/>
      <x:c r="H34" s="9" t="str"/>
      <x:c r="I34" s="9" t="str"/>
    </x:row>
    <x:row r="35" ht="54" customHeight="1">
      <x:c r="A35" s="9" t="str">
        <x:v>T34</x:v>
      </x:c>
      <x:c r="B35" s="9" t="str">
        <x:v>训练场重开</x:v>
      </x:c>
      <x:c r="C35" s="9" t="str">
        <x:v>残余能量、敌人已死亡</x:v>
      </x:c>
      <x:c r="D35" s="9" t="str">
        <x:v>重开</x:v>
      </x:c>
      <x:c r="E35" s="9" t="str">
        <x:v>恢复100生命、30弹药、0能量及敌人初始状态</x:v>
      </x:c>
      <x:c r="F35" s="9" t="str">
        <x:v>待执行</x:v>
      </x:c>
      <x:c r="G35" s="9" t="str"/>
      <x:c r="H35" s="9" t="str"/>
      <x:c r="I35" s="9" t="str"/>
    </x:row>
  </x:sheetData>
  <x:conditionalFormatting sqref="F2:F35">
    <x:cfRule type="containsText" dxfId="0" priority="1" operator="containsText" text="失败"/>
  </x:conditionalFormatting>
  <x:dataValidations count="1">
    <x:dataValidation type="list" sqref="F2:F35">
      <x:formula1>"待执行,通过,失败,阻塞"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749e19bd1f4a23"/>
  </x:tableParts>
</x:worksheet>
</file>